
<file path=[Content_Types].xml><?xml version="1.0" encoding="utf-8"?>
<Types xmlns="http://schemas.openxmlformats.org/package/2006/content-types">
  <Default Extension="png" ContentType="image/png"/>
  <Override PartName="/customXml/itemProps2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8680" yWindow="-120" windowWidth="19420" windowHeight="11020" firstSheet="1" activeTab="1"/>
  </bookViews>
  <sheets>
    <sheet name="ProjectStatusReport(May)-GovD" sheetId="8" r:id="rId1"/>
    <sheet name="ProjectStatusReport(May)-AccSca" sheetId="7" r:id="rId2"/>
    <sheet name="ENH and Bug Fixes - AccScans" sheetId="3" r:id="rId3"/>
    <sheet name="Sheet3" sheetId="11" r:id="rId4"/>
    <sheet name="Road Map" sheetId="5" r:id="rId5"/>
    <sheet name="Key" sheetId="4" r:id="rId6"/>
  </sheets>
  <calcPr calcId="125725"/>
  <fileRecoveryPr repairLoad="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8"/>
  <c r="A14"/>
  <c r="N22" i="7"/>
  <c r="A14"/>
</calcChain>
</file>

<file path=xl/comments1.xml><?xml version="1.0" encoding="utf-8"?>
<comments xmlns="http://schemas.openxmlformats.org/spreadsheetml/2006/main">
  <authors>
    <author>Anand, Chamu DPI</author>
  </authors>
  <commentList>
    <comment ref="H2023" authorId="0">
      <text>
        <r>
          <rPr>
            <b/>
            <sz val="9"/>
            <color indexed="81"/>
            <rFont val="Tahoma"/>
            <family val="2"/>
          </rPr>
          <t>Anand, Chamu DPI:</t>
        </r>
        <r>
          <rPr>
            <sz val="9"/>
            <color indexed="81"/>
            <rFont val="Tahoma"/>
            <family val="2"/>
          </rPr>
          <t xml:space="preserve">
IN PROGRESS : Tasks are worked upon and the team is working towards the target date but does not have estimated time of completion and cannot forecast any issues in the project.</t>
        </r>
      </text>
    </comment>
    <comment ref="B2038" authorId="0">
      <text>
        <r>
          <rPr>
            <b/>
            <sz val="9"/>
            <color indexed="81"/>
            <rFont val="Tahoma"/>
            <family val="2"/>
          </rPr>
          <t>Anand, Chamu DPI:</t>
        </r>
        <r>
          <rPr>
            <sz val="9"/>
            <color indexed="81"/>
            <rFont val="Tahoma"/>
            <family val="2"/>
          </rPr>
          <t xml:space="preserve">
IN PROGRESS : Tasks are worked upon and the team is working towards the target date but does not have estimated time of completion and cannot forecast any issues in the project.</t>
        </r>
      </text>
    </comment>
  </commentList>
</comments>
</file>

<file path=xl/comments2.xml><?xml version="1.0" encoding="utf-8"?>
<comments xmlns="http://schemas.openxmlformats.org/spreadsheetml/2006/main">
  <authors>
    <author>Anand, Chamu DPI</author>
  </authors>
  <commentList>
    <comment ref="H2022" authorId="0">
      <text>
        <r>
          <rPr>
            <b/>
            <sz val="9"/>
            <color indexed="81"/>
            <rFont val="Tahoma"/>
            <family val="2"/>
          </rPr>
          <t>Anand, Chamu DPI:</t>
        </r>
        <r>
          <rPr>
            <sz val="9"/>
            <color indexed="81"/>
            <rFont val="Tahoma"/>
            <family val="2"/>
          </rPr>
          <t xml:space="preserve">
IN PROGRESS : Tasks are worked upon and the team is working towards the target date but does not have estimated time of completion and cannot forecast any issues in the project.</t>
        </r>
      </text>
    </comment>
    <comment ref="B2037" authorId="0">
      <text>
        <r>
          <rPr>
            <b/>
            <sz val="9"/>
            <color indexed="81"/>
            <rFont val="Tahoma"/>
            <family val="2"/>
          </rPr>
          <t>Anand, Chamu DPI:</t>
        </r>
        <r>
          <rPr>
            <sz val="9"/>
            <color indexed="81"/>
            <rFont val="Tahoma"/>
            <family val="2"/>
          </rPr>
          <t xml:space="preserve">
IN PROGRESS : Tasks are worked upon and the team is working towards the target date but does not have estimated time of completion and cannot forecast any issues in the project.</t>
        </r>
      </text>
    </comment>
  </commentList>
</comments>
</file>

<file path=xl/sharedStrings.xml><?xml version="1.0" encoding="utf-8"?>
<sst xmlns="http://schemas.openxmlformats.org/spreadsheetml/2006/main" count="755" uniqueCount="290">
  <si>
    <t>Project Health</t>
  </si>
  <si>
    <t>Trend</t>
  </si>
  <si>
    <t>Status</t>
  </si>
  <si>
    <t>Indicators</t>
  </si>
  <si>
    <t>Project Name</t>
  </si>
  <si>
    <t>↑</t>
  </si>
  <si>
    <t>IN PROGRESS</t>
  </si>
  <si>
    <t>Overall</t>
  </si>
  <si>
    <t>Project Request ID</t>
  </si>
  <si>
    <t>Milestones</t>
  </si>
  <si>
    <t>Project Sponsor</t>
  </si>
  <si>
    <t>↔</t>
  </si>
  <si>
    <t>Stakeholder Engagement</t>
  </si>
  <si>
    <t>Project Manager</t>
  </si>
  <si>
    <t>ON TRACK</t>
  </si>
  <si>
    <t>Scope</t>
  </si>
  <si>
    <t>Program Area</t>
  </si>
  <si>
    <t>Budget</t>
  </si>
  <si>
    <t>Products Impacted</t>
  </si>
  <si>
    <t>Timeline</t>
  </si>
  <si>
    <t>Project Objectives</t>
  </si>
  <si>
    <t xml:space="preserve">Status help </t>
  </si>
  <si>
    <t>Value Proposition</t>
  </si>
  <si>
    <t>Dropdown here for Status Description</t>
  </si>
  <si>
    <t>School and District Impact</t>
  </si>
  <si>
    <t>N/A</t>
  </si>
  <si>
    <t>Project Phases &amp; Timeline</t>
  </si>
  <si>
    <t>Target Start Date</t>
  </si>
  <si>
    <t>Target End Date</t>
  </si>
  <si>
    <t>Actual Start Date</t>
  </si>
  <si>
    <t>Actual End Date</t>
  </si>
  <si>
    <t>Planning Phase</t>
  </si>
  <si>
    <t>Jan, 25</t>
  </si>
  <si>
    <t>Mar, 25</t>
  </si>
  <si>
    <t>COMPLETE</t>
  </si>
  <si>
    <t>Construction Phase</t>
  </si>
  <si>
    <t>Apr, 25</t>
  </si>
  <si>
    <t>Close Out Phase</t>
  </si>
  <si>
    <t>NOT STARTED</t>
  </si>
  <si>
    <t>Critical Milestones</t>
  </si>
  <si>
    <t>Milestone 1: Project Planning
and Business Approval for
Project</t>
  </si>
  <si>
    <t>Completed</t>
  </si>
  <si>
    <t>Milestone 2: Working with 
Architects for Initial project/application and 
pipeline set up</t>
  </si>
  <si>
    <t>Apr,25</t>
  </si>
  <si>
    <t>In Progress</t>
  </si>
  <si>
    <t>Issues and Risks</t>
  </si>
  <si>
    <t>No</t>
  </si>
  <si>
    <t>Risk / issue Description</t>
  </si>
  <si>
    <t>Response Status</t>
  </si>
  <si>
    <t xml:space="preserve">Impact </t>
  </si>
  <si>
    <t>Mitigated</t>
  </si>
  <si>
    <t>Low</t>
  </si>
  <si>
    <t>Accepted - No action</t>
  </si>
  <si>
    <t>Medium</t>
  </si>
  <si>
    <t>Change Requests</t>
  </si>
  <si>
    <t xml:space="preserve">Change Description </t>
  </si>
  <si>
    <t>Requestor</t>
  </si>
  <si>
    <t>Impact</t>
  </si>
  <si>
    <t>Work Item No</t>
  </si>
  <si>
    <t>Tasks / Stories / Bugs</t>
  </si>
  <si>
    <t>Priortization reason</t>
  </si>
  <si>
    <t>Anderson Paul</t>
  </si>
  <si>
    <t>Status help screen</t>
  </si>
  <si>
    <t>Critical</t>
  </si>
  <si>
    <t>Tasks are worked upon and the team is working towards the target date and is on time to meet the schedule</t>
  </si>
  <si>
    <t>OVERDUE</t>
  </si>
  <si>
    <t>Not Started</t>
  </si>
  <si>
    <t>High</t>
  </si>
  <si>
    <t>Transferred</t>
  </si>
  <si>
    <t>↓</t>
  </si>
  <si>
    <t>Tasks are worked upon and the team is working towards the target date but does not have estimated time of completion and cannot forecast any issues in the project</t>
  </si>
  <si>
    <t>Avoided</t>
  </si>
  <si>
    <t>Task that is past their given timeline to complete</t>
  </si>
  <si>
    <t>ON HOLD</t>
  </si>
  <si>
    <t>Work on the project has finished, and all deliverables/tasks have been completed</t>
  </si>
  <si>
    <t>CANCELLED</t>
  </si>
  <si>
    <t>The project has not finished, and work on the project has been temporarily suspended</t>
  </si>
  <si>
    <t>The project has not finished, and work on the project will not continue</t>
  </si>
  <si>
    <t>Efforts that are not started</t>
  </si>
  <si>
    <t xml:space="preserve">Effort </t>
  </si>
  <si>
    <t xml:space="preserve">Category </t>
  </si>
  <si>
    <t>WorkitemID</t>
  </si>
  <si>
    <t>Workitem Title</t>
  </si>
  <si>
    <t>Notes</t>
  </si>
  <si>
    <t>Enhancement</t>
  </si>
  <si>
    <t>Funding Source</t>
  </si>
  <si>
    <t>Feb</t>
  </si>
  <si>
    <t>March</t>
  </si>
  <si>
    <t>April</t>
  </si>
  <si>
    <t>May</t>
  </si>
  <si>
    <t>June</t>
  </si>
  <si>
    <t>Jan</t>
  </si>
  <si>
    <t>WISEdata</t>
  </si>
  <si>
    <t>Category</t>
  </si>
  <si>
    <t>Time Commitment</t>
  </si>
  <si>
    <t>Examples</t>
  </si>
  <si>
    <t>Time Characteristics</t>
  </si>
  <si>
    <t>Bug Fix / Tech Debt</t>
  </si>
  <si>
    <r>
      <t>Short-Term</t>
    </r>
    <r>
      <rPr>
        <sz val="11"/>
        <color rgb="FF000000"/>
        <rFont val="Calibri"/>
        <family val="2"/>
      </rPr>
      <t xml:space="preserve"> (days/weeks/ 1 sprint)</t>
    </r>
  </si>
  <si>
    <t>Fixing critical login bug</t>
  </si>
  <si>
    <t>Quick turnaround (&lt; 1 week)</t>
  </si>
  <si>
    <t>Minor UI glitches</t>
  </si>
  <si>
    <t>Immediate or scheduled fix</t>
  </si>
  <si>
    <t>Enhancement / Tech Debt</t>
  </si>
  <si>
    <r>
      <t>Medium-Term</t>
    </r>
    <r>
      <rPr>
        <sz val="11"/>
        <color rgb="FF000000"/>
        <rFont val="Calibri"/>
        <family val="2"/>
      </rPr>
      <t xml:space="preserve"> (weeks/months/ 2 sprints to 4 sprints)</t>
    </r>
  </si>
  <si>
    <t>Adding a new search filter</t>
  </si>
  <si>
    <t>Takes 2-8 weeks (1 sprint or more)</t>
  </si>
  <si>
    <t>Improving report generation</t>
  </si>
  <si>
    <t>Requires planning and testing</t>
  </si>
  <si>
    <t>Project</t>
  </si>
  <si>
    <r>
      <t>Long-Term</t>
    </r>
    <r>
      <rPr>
        <sz val="11"/>
        <color rgb="FF000000"/>
        <rFont val="Calibri"/>
        <family val="2"/>
      </rPr>
      <t xml:space="preserve"> (3 months and above/ 5 sprints and above)</t>
    </r>
  </si>
  <si>
    <t>Developing a new product</t>
  </si>
  <si>
    <t>Duration of 3+ months</t>
  </si>
  <si>
    <t xml:space="preserve"> Migrating to new architecture</t>
  </si>
  <si>
    <t>Large scope with detailed phases</t>
  </si>
  <si>
    <t xml:space="preserve">Initiative </t>
  </si>
  <si>
    <r>
      <t>Long-Term (</t>
    </r>
    <r>
      <rPr>
        <sz val="11"/>
        <color rgb="FF000000"/>
        <rFont val="Calibri"/>
        <family val="2"/>
      </rPr>
      <t>Multiple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years</t>
    </r>
    <r>
      <rPr>
        <b/>
        <sz val="11"/>
        <color rgb="FF000000"/>
        <rFont val="Calibri"/>
        <family val="2"/>
      </rPr>
      <t>)</t>
    </r>
  </si>
  <si>
    <t>Multiple projects aligning with business startegies or Grant expectations</t>
  </si>
  <si>
    <t>Duration of 1 year +</t>
  </si>
  <si>
    <t>Digital transformations or Enterprise application modernization or Cyber Security changes or creating application (s) due to new program area</t>
  </si>
  <si>
    <t>Large scope with multiple projects and phases</t>
  </si>
  <si>
    <t xml:space="preserve">Milestone 5:UAT Feedback/Enhancements
</t>
  </si>
  <si>
    <t>IT related work</t>
  </si>
  <si>
    <t xml:space="preserve">Added more info </t>
  </si>
  <si>
    <t>Time stamp was not showing correctly for specific sped users</t>
  </si>
  <si>
    <t>Dec</t>
  </si>
  <si>
    <t>LEAD - ELO Verify (Annual Effort) and Lead Annual work</t>
  </si>
  <si>
    <t>In progress</t>
  </si>
  <si>
    <t>REF ID 862_ Role-Based Contact Communications via GovDelivery.docx </t>
  </si>
  <si>
    <t>REF ID 863_ Move CRM Newsletters to govDelivery.docx </t>
  </si>
  <si>
    <t>Milestone 6: Close out</t>
  </si>
  <si>
    <t>Kurra Venkatesh</t>
  </si>
  <si>
    <t>Bug</t>
  </si>
  <si>
    <t>Automatic replies will not create a new case in CRM</t>
  </si>
  <si>
    <t>Team member app deployment - Ribbon clean up</t>
  </si>
  <si>
    <t>Team member app - Adding the resolve button on the ribbon</t>
  </si>
  <si>
    <t>Team member app - Adding the assign button on the ribbon</t>
  </si>
  <si>
    <t>July</t>
  </si>
  <si>
    <t>Aug</t>
  </si>
  <si>
    <t>Sept</t>
  </si>
  <si>
    <t>Oct</t>
  </si>
  <si>
    <t>Nov</t>
  </si>
  <si>
    <t>REF ID 202511042 - CRM Team Accessibility Compliance</t>
  </si>
  <si>
    <t>Accessibility Compliance</t>
  </si>
  <si>
    <t>Vindhya Rao Jajavarapu</t>
  </si>
  <si>
    <t xml:space="preserve">Bureau of Information Technology Services </t>
  </si>
  <si>
    <t>All CRM Priority One public facing applications</t>
  </si>
  <si>
    <t>Conduct security scans on Applications so that potential vulnerabilities can be identified and remediated.</t>
  </si>
  <si>
    <t>Strengthen accessibility compliance and deliver an inclusive user experience across applications.</t>
  </si>
  <si>
    <t>Jan, 5</t>
  </si>
  <si>
    <t>Dec, 20</t>
  </si>
  <si>
    <t>Apr, 24</t>
  </si>
  <si>
    <t>Apr, 27</t>
  </si>
  <si>
    <t>Apr, 29</t>
  </si>
  <si>
    <t xml:space="preserve">Milestone 4 Active Development
 </t>
  </si>
  <si>
    <t>Milestone 3: Walkthrough the
proposed solution with IT leadership and 
architects</t>
  </si>
  <si>
    <t>Dec, 20 / prior dates</t>
  </si>
  <si>
    <t>Jan,25</t>
  </si>
  <si>
    <t>Mar,5</t>
  </si>
  <si>
    <t xml:space="preserve">Lucas Munz </t>
  </si>
  <si>
    <t>Projects for FY26</t>
  </si>
  <si>
    <t>REF ID 2511251 - Automate School Modification Template Emails</t>
  </si>
  <si>
    <t>To Do - FY2027</t>
  </si>
  <si>
    <t>Gabby to answer some Questions from Development Team. In order to come up with estimates</t>
  </si>
  <si>
    <t>REF ID 2512182 - CRM work for 2026 Accountability Inquiry Period</t>
  </si>
  <si>
    <t>Pipelines for Dataverse Solutions (CST and LEAD)</t>
  </si>
  <si>
    <t>REF ID 875- RECAPCHA for School Directory</t>
  </si>
  <si>
    <t xml:space="preserve">Misc - Production Support </t>
  </si>
  <si>
    <t>USERSTORY240307</t>
  </si>
  <si>
    <t>Microsoft Ticket_ KB Articles Issue</t>
  </si>
  <si>
    <t>USERSTORY240260</t>
  </si>
  <si>
    <t>USERSTORY240259</t>
  </si>
  <si>
    <t>Cynthia Hoffman</t>
  </si>
  <si>
    <t>Verify on Subscribe Pages in GovD</t>
  </si>
  <si>
    <t>LEAD : Alert email failing with old email address</t>
  </si>
  <si>
    <t>USERSTORY239398</t>
  </si>
  <si>
    <t>Venkatesh Kurra</t>
  </si>
  <si>
    <t>Azure app secret keys expiring by March 3rd</t>
  </si>
  <si>
    <t>USERSTORY240529</t>
  </si>
  <si>
    <t>LEAD : Inactive users assigned cases</t>
  </si>
  <si>
    <t>Accessibility Fixes: GED HSED - GED HSED Screen reader is not reading out the validation errors</t>
  </si>
  <si>
    <t>SM: Full version field is becoming read only, update USPS API, add alert notifications</t>
  </si>
  <si>
    <t>Fix error when uploading documents in School Modification Form - Emergency Ticket</t>
  </si>
  <si>
    <t>Accessibility Fixes - Lead contact pages (Screen Reader)</t>
  </si>
  <si>
    <t>Accessibility Fixes: GED HSED - GED HSED Screen reader is not reading out the validation errors - Cont.</t>
  </si>
  <si>
    <t>Test and Validate Rollback Plan for Accessibility Releases - Power Pages</t>
  </si>
  <si>
    <t>LEAD- Sync licenses , applications for contacts</t>
  </si>
  <si>
    <t>Accessibilty Headers and errors resolve on remaining KB</t>
  </si>
  <si>
    <t>Validate All SharePoint Libraries Use Modern Authentication</t>
  </si>
  <si>
    <t>USERSTORY242446</t>
  </si>
  <si>
    <t>USERSTORY242245</t>
  </si>
  <si>
    <t>USERSTORY241907</t>
  </si>
  <si>
    <t>USERSTORY241906</t>
  </si>
  <si>
    <t>USERSTORY241908</t>
  </si>
  <si>
    <t>USERSTORY241901</t>
  </si>
  <si>
    <t>USERSTORY241736</t>
  </si>
  <si>
    <t>USERSTORY242322</t>
  </si>
  <si>
    <t>USERSTORY242325</t>
  </si>
  <si>
    <t>USERSTORY242231</t>
  </si>
  <si>
    <t>Support</t>
  </si>
  <si>
    <t>Prevent application failures by aligning school year data between systems</t>
  </si>
  <si>
    <r>
      <t>Sprint 1154</t>
    </r>
    <r>
      <rPr>
        <i/>
        <strike/>
        <sz val="11"/>
        <color theme="1"/>
        <rFont val="Calibri"/>
        <family val="2"/>
        <scheme val="minor"/>
      </rPr>
      <t xml:space="preserve"> Sprint 1153</t>
    </r>
  </si>
  <si>
    <t>Melissa Eggert- Provision CRM Access for New Partner Support Team Member</t>
  </si>
  <si>
    <t>SM - School Modification Form Grade Levels</t>
  </si>
  <si>
    <t>Ensure cases assigned to 'Michelle Silverman' and and 'DawnMerth-Johnson' appear in SPED-Ed Active Cases queue</t>
  </si>
  <si>
    <t>SM - Adding the validation for the name fields</t>
  </si>
  <si>
    <t>Accessibility Fixes - Formatting for portal pages after Accessibility requirements updates</t>
  </si>
  <si>
    <t xml:space="preserve">LEAD : Clean up LEAD KB portal </t>
  </si>
  <si>
    <t xml:space="preserve">Accessibility Fixes : Knowledge articles CST </t>
  </si>
  <si>
    <t>Use Service accounts to authenticate with Sharepoint for PA flows</t>
  </si>
  <si>
    <t>CRM: Clean up Logs to free up some space</t>
  </si>
  <si>
    <t>QA - Accessibility Fixes - KB Articles validation after the accessibility WCAG 2.1 changes</t>
  </si>
  <si>
    <t>QA - LEAD KB Articles validation after the accessibility WCAG 2.1 changes</t>
  </si>
  <si>
    <t xml:space="preserve">Sprint 1155 </t>
  </si>
  <si>
    <t>Sprint 1156</t>
  </si>
  <si>
    <t>USERSTORY242835</t>
  </si>
  <si>
    <t>USERSTORY243331</t>
  </si>
  <si>
    <t>USERSTORY243171</t>
  </si>
  <si>
    <t>USERSTORY243086</t>
  </si>
  <si>
    <t>USERSTORY242845</t>
  </si>
  <si>
    <t>USERSTORY242837</t>
  </si>
  <si>
    <t>USERSTORY242841</t>
  </si>
  <si>
    <t>USERSTORY243074</t>
  </si>
  <si>
    <t>USERSTORY242844</t>
  </si>
  <si>
    <t>USERSTORY242846</t>
  </si>
  <si>
    <t>USERSTORY242836</t>
  </si>
  <si>
    <t>USERSTORY242840</t>
  </si>
  <si>
    <t>Rupesh Makula</t>
  </si>
  <si>
    <t>LEAD_ Licensing -  Remove the ability to delete contacts from the TEPDL team member role</t>
  </si>
  <si>
    <t>Fixes KB article issues to ensure users can access accurate and helpful information without confusion</t>
  </si>
  <si>
    <t>Ensures subscription pages work correctly, improving user sign-ups and reducing errors.</t>
  </si>
  <si>
    <t>Fixes email alert issues so notifications are sent to the correct, updated addresses.</t>
  </si>
  <si>
    <t>Prevents service disruptions by renewing expiring keys and maintaining secure system access.</t>
  </si>
  <si>
    <t>Resolves upload failures so users can submit documents without delays</t>
  </si>
  <si>
    <t>Ensures accurate syncing of licenses and applications for better access management.</t>
  </si>
  <si>
    <t>Prevents accidental deletion of contacts, improving data security and control.</t>
  </si>
  <si>
    <t>Ensures consistent and reliable document uploads for users.</t>
  </si>
  <si>
    <t>Strengthens security by enforcing modern authentication across all libraries.</t>
  </si>
  <si>
    <t>Ensure cases are reassigned from inactive users to active owners to prevent delays and maintain uninterrupted case management.</t>
  </si>
  <si>
    <r>
      <t>Sprint 1155</t>
    </r>
    <r>
      <rPr>
        <strike/>
        <sz val="11"/>
        <color theme="1"/>
        <rFont val="Calibri"/>
        <family val="2"/>
        <scheme val="minor"/>
      </rPr>
      <t xml:space="preserve"> Sprint 1154</t>
    </r>
  </si>
  <si>
    <r>
      <t xml:space="preserve">Next Month Activities  </t>
    </r>
    <r>
      <rPr>
        <b/>
        <sz val="11"/>
        <color theme="4"/>
        <rFont val="Calibri"/>
        <family val="2"/>
        <scheme val="minor"/>
      </rPr>
      <t xml:space="preserve">(Sprint 1156) </t>
    </r>
  </si>
  <si>
    <r>
      <t xml:space="preserve">CRM Team-  </t>
    </r>
    <r>
      <rPr>
        <b/>
        <sz val="18"/>
        <color theme="4"/>
        <rFont val="Calibri"/>
        <family val="2"/>
        <scheme val="minor"/>
      </rPr>
      <t>Accessibility Compliance -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18"/>
        <color theme="4"/>
        <rFont val="Calibri"/>
        <family val="2"/>
        <scheme val="minor"/>
      </rPr>
      <t>(03/19/2026 through 04/15/2026)</t>
    </r>
  </si>
  <si>
    <t>Improve Granicus govDelivery Capabilities</t>
  </si>
  <si>
    <t>Chris Bucher</t>
  </si>
  <si>
    <t>Division of Government &amp; Public Affairs / Office of Communication</t>
  </si>
  <si>
    <t>Cuts costs and manual work while making communication more accurate and targeted.</t>
  </si>
  <si>
    <t>Migrate CRM newsletters to GovDelivery, retire the CRM marketing module, and enable automated, role-based contact communication.</t>
  </si>
  <si>
    <t>CRM Marketting Module</t>
  </si>
  <si>
    <r>
      <t xml:space="preserve">Project Information </t>
    </r>
    <r>
      <rPr>
        <b/>
        <sz val="11"/>
        <color theme="4"/>
        <rFont val="Calibri"/>
        <family val="2"/>
        <scheme val="minor"/>
      </rPr>
      <t>(Sprint 1157 &amp; 1158)</t>
    </r>
  </si>
  <si>
    <r>
      <t xml:space="preserve">Last Month Activities </t>
    </r>
    <r>
      <rPr>
        <b/>
        <sz val="11"/>
        <color theme="4"/>
        <rFont val="Calibri"/>
        <family val="2"/>
        <scheme val="minor"/>
      </rPr>
      <t xml:space="preserve">(Sprint 1157 &amp; 1158) </t>
    </r>
    <r>
      <rPr>
        <b/>
        <sz val="11"/>
        <color theme="1"/>
        <rFont val="Calibri"/>
        <family val="2"/>
        <scheme val="minor"/>
      </rPr>
      <t>- Project Tickets</t>
    </r>
  </si>
  <si>
    <r>
      <t>Non - Project related activities ( Project Drag-</t>
    </r>
    <r>
      <rPr>
        <b/>
        <sz val="11"/>
        <color theme="4"/>
        <rFont val="Calibri"/>
        <family val="2"/>
        <scheme val="minor"/>
      </rPr>
      <t xml:space="preserve"> 1157 &amp; 1158)</t>
    </r>
  </si>
  <si>
    <r>
      <t xml:space="preserve">Value proposition </t>
    </r>
    <r>
      <rPr>
        <b/>
        <sz val="12"/>
        <color theme="4"/>
        <rFont val="Calibri"/>
        <family val="2"/>
        <scheme val="minor"/>
      </rPr>
      <t>(Sprint 1157 &amp; 1158)</t>
    </r>
  </si>
  <si>
    <t>May, 12</t>
  </si>
  <si>
    <r>
      <t xml:space="preserve">Last Month Activities </t>
    </r>
    <r>
      <rPr>
        <b/>
        <sz val="11"/>
        <color theme="4"/>
        <rFont val="Calibri"/>
        <family val="2"/>
        <scheme val="minor"/>
      </rPr>
      <t xml:space="preserve"> (Sprint 1157 &amp; 1158) </t>
    </r>
    <r>
      <rPr>
        <b/>
        <sz val="11"/>
        <color theme="1"/>
        <rFont val="Calibri"/>
        <family val="2"/>
        <scheme val="minor"/>
      </rPr>
      <t>- Project Tickets</t>
    </r>
  </si>
  <si>
    <r>
      <t>Non - Project related activities ( Project Drag-</t>
    </r>
    <r>
      <rPr>
        <b/>
        <sz val="11"/>
        <color theme="4"/>
        <rFont val="Calibri"/>
        <family val="2"/>
        <scheme val="minor"/>
      </rPr>
      <t xml:space="preserve">  1157 &amp; 1158)</t>
    </r>
  </si>
  <si>
    <t>Sprint 1157</t>
  </si>
  <si>
    <t>Sprint 1158</t>
  </si>
  <si>
    <t xml:space="preserve">Completed </t>
  </si>
  <si>
    <t>Tecnology Update- .Net Upgrade</t>
  </si>
  <si>
    <t>REF ID: 840 -  CST Team Member App Development + Customer Survey</t>
  </si>
  <si>
    <r>
      <t xml:space="preserve">Next Month Activities  </t>
    </r>
    <r>
      <rPr>
        <b/>
        <sz val="11"/>
        <color theme="4"/>
        <rFont val="Calibri"/>
        <family val="2"/>
        <scheme val="minor"/>
      </rPr>
      <t xml:space="preserve">(Sprint 1159) </t>
    </r>
  </si>
  <si>
    <t>SM - Change to School Mod Approvers</t>
  </si>
  <si>
    <t>PST - Missing Active Cases View for Sean Donohoo</t>
  </si>
  <si>
    <t>SM - Duplicate Form names on the CRM form</t>
  </si>
  <si>
    <t>LEAD: Widget is not loading on first open</t>
  </si>
  <si>
    <t>Accessibility Scans KBA Articles - Scans</t>
  </si>
  <si>
    <t>Accessibility GED/HSED: Add Aria Described by for Radio button fields</t>
  </si>
  <si>
    <t>Accessibility Fixes : Knowledge articles CST</t>
  </si>
  <si>
    <t>Accessibility Scans _ KBA Articles - QA</t>
  </si>
  <si>
    <t>USERSTORY243489</t>
  </si>
  <si>
    <t>USERSTORY243493</t>
  </si>
  <si>
    <t>USERSTORY243498</t>
  </si>
  <si>
    <t>USERSTORY243499</t>
  </si>
  <si>
    <t>USERSTORY243948</t>
  </si>
  <si>
    <t>USERSTORY243876</t>
  </si>
  <si>
    <t>USERSTORY243851</t>
  </si>
  <si>
    <t>USERSTORY243488</t>
  </si>
  <si>
    <t>PST - PS CRM Queue - multiple cases from Christ Lutheran School</t>
  </si>
  <si>
    <t>Lead - Update to licensing Contact form</t>
  </si>
  <si>
    <t>School Mod Approver Dashboard Enhancement</t>
  </si>
  <si>
    <t>Accessibility - SM Key board focus</t>
  </si>
  <si>
    <t>Accessibility - GED HSED Search filter modal focus</t>
  </si>
  <si>
    <t>ANALYSIS_ Accessibility Manual Testing coverage</t>
  </si>
  <si>
    <t>Asana Updates and Project clean up</t>
  </si>
  <si>
    <t xml:space="preserve">Asana Updates and Project clean up </t>
  </si>
  <si>
    <t>VRM Case Notification – Remove Incorrect Recipient</t>
  </si>
  <si>
    <t>PR 862 Common Services: Add a button and dialog to configure sync Common Services to GovD - Part1</t>
  </si>
  <si>
    <t>Deployment Backout Plan - Documentation (Placeholder)</t>
  </si>
  <si>
    <t>1158 - Non Proj</t>
  </si>
  <si>
    <t>1158  -Proj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</si>
</sst>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CC00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424242"/>
      <name val="Arial Unicode MS"/>
    </font>
    <font>
      <sz val="10.5"/>
      <color rgb="FF424242"/>
      <name val="Courier New"/>
      <family val="3"/>
    </font>
    <font>
      <i/>
      <sz val="11"/>
      <color theme="4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242424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8"/>
      <color theme="4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Aptos Narrow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Segoe UI"/>
      <family val="2"/>
    </font>
    <font>
      <b/>
      <sz val="12"/>
      <color theme="4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5" tint="-0.499984740745262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0" tint="-0.249977111117893"/>
      <name val="Aptos Narrow"/>
      <family val="2"/>
    </font>
    <font>
      <sz val="11"/>
      <color theme="0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Segoe UI"/>
      <family val="2"/>
    </font>
    <font>
      <i/>
      <u/>
      <sz val="11"/>
      <color theme="5" tint="-0.49998474074526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DBE9F7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FFFFFF"/>
      </right>
      <top/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18">
    <xf numFmtId="0" fontId="0" fillId="0" borderId="0" xfId="0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4" xfId="0" applyBorder="1"/>
    <xf numFmtId="0" fontId="0" fillId="0" borderId="10" xfId="0" applyBorder="1"/>
    <xf numFmtId="0" fontId="0" fillId="0" borderId="5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4" fillId="0" borderId="3" xfId="0" applyFont="1" applyBorder="1"/>
    <xf numFmtId="0" fontId="5" fillId="0" borderId="3" xfId="0" applyFont="1" applyBorder="1"/>
    <xf numFmtId="0" fontId="6" fillId="0" borderId="3" xfId="0" applyFont="1" applyBorder="1"/>
    <xf numFmtId="0" fontId="11" fillId="0" borderId="0" xfId="0" applyFont="1" applyAlignment="1">
      <alignment horizontal="left" vertical="center"/>
    </xf>
    <xf numFmtId="0" fontId="12" fillId="0" borderId="0" xfId="0" applyFont="1"/>
    <xf numFmtId="0" fontId="0" fillId="0" borderId="27" xfId="0" applyBorder="1"/>
    <xf numFmtId="0" fontId="0" fillId="0" borderId="2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9" fillId="0" borderId="31" xfId="0" applyFont="1" applyBorder="1" applyAlignment="1" applyProtection="1">
      <alignment horizontal="left" vertical="top" wrapText="1"/>
      <protection hidden="1"/>
    </xf>
    <xf numFmtId="0" fontId="9" fillId="0" borderId="32" xfId="0" applyFont="1" applyBorder="1" applyAlignment="1" applyProtection="1">
      <alignment horizontal="left" vertical="top" wrapText="1"/>
      <protection hidden="1"/>
    </xf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/>
    </xf>
    <xf numFmtId="0" fontId="15" fillId="0" borderId="38" xfId="0" applyFont="1" applyBorder="1" applyAlignment="1">
      <alignment wrapText="1"/>
    </xf>
    <xf numFmtId="0" fontId="15" fillId="0" borderId="40" xfId="0" applyFont="1" applyBorder="1" applyAlignment="1">
      <alignment wrapText="1"/>
    </xf>
    <xf numFmtId="0" fontId="15" fillId="0" borderId="41" xfId="0" applyFont="1" applyBorder="1" applyAlignment="1">
      <alignment wrapText="1"/>
    </xf>
    <xf numFmtId="0" fontId="0" fillId="0" borderId="2" xfId="0" applyBorder="1" applyAlignment="1">
      <alignment wrapText="1"/>
    </xf>
    <xf numFmtId="0" fontId="15" fillId="0" borderId="2" xfId="0" applyFont="1" applyBorder="1"/>
    <xf numFmtId="0" fontId="0" fillId="0" borderId="11" xfId="0" applyBorder="1"/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/>
    <xf numFmtId="0" fontId="0" fillId="4" borderId="1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18" fillId="0" borderId="44" xfId="0" applyFont="1" applyBorder="1" applyAlignment="1">
      <alignment horizontal="left" vertical="top" wrapText="1"/>
    </xf>
    <xf numFmtId="0" fontId="0" fillId="0" borderId="2" xfId="0" applyBorder="1" applyAlignment="1">
      <alignment vertical="top"/>
    </xf>
    <xf numFmtId="0" fontId="1" fillId="0" borderId="1" xfId="0" applyFont="1" applyBorder="1" applyAlignment="1">
      <alignment horizontal="center"/>
    </xf>
    <xf numFmtId="0" fontId="16" fillId="0" borderId="1" xfId="1" applyBorder="1" applyAlignment="1">
      <alignment horizontal="left" vertical="center"/>
    </xf>
    <xf numFmtId="0" fontId="16" fillId="0" borderId="2" xfId="1" applyBorder="1"/>
    <xf numFmtId="0" fontId="16" fillId="0" borderId="41" xfId="1" applyBorder="1" applyAlignment="1">
      <alignment horizontal="left" vertical="center"/>
    </xf>
    <xf numFmtId="0" fontId="10" fillId="6" borderId="47" xfId="0" applyFont="1" applyFill="1" applyBorder="1" applyAlignment="1">
      <alignment horizontal="left" vertical="top"/>
    </xf>
    <xf numFmtId="0" fontId="15" fillId="0" borderId="54" xfId="0" applyFont="1" applyBorder="1" applyAlignment="1">
      <alignment wrapText="1"/>
    </xf>
    <xf numFmtId="0" fontId="15" fillId="0" borderId="26" xfId="0" applyFont="1" applyBorder="1" applyAlignment="1">
      <alignment wrapText="1"/>
    </xf>
    <xf numFmtId="0" fontId="15" fillId="0" borderId="57" xfId="0" applyFont="1" applyBorder="1" applyAlignment="1">
      <alignment wrapText="1"/>
    </xf>
    <xf numFmtId="0" fontId="15" fillId="0" borderId="22" xfId="0" applyFont="1" applyBorder="1" applyAlignment="1">
      <alignment wrapText="1"/>
    </xf>
    <xf numFmtId="0" fontId="14" fillId="0" borderId="12" xfId="0" applyFont="1" applyBorder="1"/>
    <xf numFmtId="0" fontId="14" fillId="0" borderId="13" xfId="0" applyFont="1" applyBorder="1"/>
    <xf numFmtId="0" fontId="14" fillId="0" borderId="14" xfId="0" applyFont="1" applyBorder="1"/>
    <xf numFmtId="0" fontId="28" fillId="0" borderId="1" xfId="1" applyFont="1" applyBorder="1" applyAlignment="1">
      <alignment horizontal="left" vertical="center"/>
    </xf>
    <xf numFmtId="0" fontId="16" fillId="0" borderId="64" xfId="1" applyBorder="1"/>
    <xf numFmtId="0" fontId="16" fillId="0" borderId="25" xfId="1" applyBorder="1" applyAlignment="1">
      <alignment horizontal="left" vertical="center"/>
    </xf>
    <xf numFmtId="0" fontId="16" fillId="0" borderId="21" xfId="1" applyBorder="1" applyAlignment="1">
      <alignment horizontal="left" vertic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29" fillId="0" borderId="23" xfId="0" applyFont="1" applyBorder="1" applyAlignment="1">
      <alignment horizontal="left"/>
    </xf>
    <xf numFmtId="0" fontId="16" fillId="0" borderId="21" xfId="1" applyBorder="1" applyAlignment="1">
      <alignment horizontal="left" vertical="center" wrapText="1"/>
    </xf>
    <xf numFmtId="0" fontId="10" fillId="6" borderId="41" xfId="0" applyFont="1" applyFill="1" applyBorder="1" applyAlignment="1">
      <alignment horizontal="left" vertical="top"/>
    </xf>
    <xf numFmtId="0" fontId="1" fillId="6" borderId="41" xfId="0" applyFont="1" applyFill="1" applyBorder="1" applyAlignment="1">
      <alignment horizontal="center" vertical="center"/>
    </xf>
    <xf numFmtId="0" fontId="1" fillId="6" borderId="41" xfId="0" applyFont="1" applyFill="1" applyBorder="1" applyAlignment="1">
      <alignment horizontal="left" vertical="top"/>
    </xf>
    <xf numFmtId="0" fontId="0" fillId="0" borderId="47" xfId="0" applyBorder="1" applyAlignment="1">
      <alignment horizontal="left" vertical="top"/>
    </xf>
    <xf numFmtId="0" fontId="0" fillId="0" borderId="67" xfId="0" applyBorder="1" applyAlignment="1">
      <alignment horizontal="left"/>
    </xf>
    <xf numFmtId="0" fontId="0" fillId="0" borderId="70" xfId="0" applyBorder="1"/>
    <xf numFmtId="0" fontId="16" fillId="0" borderId="70" xfId="1" applyBorder="1" applyAlignment="1">
      <alignment vertical="center"/>
    </xf>
    <xf numFmtId="0" fontId="31" fillId="0" borderId="70" xfId="0" applyFont="1" applyBorder="1" applyAlignment="1">
      <alignment horizontal="left"/>
    </xf>
    <xf numFmtId="0" fontId="0" fillId="0" borderId="70" xfId="0" applyBorder="1" applyAlignment="1">
      <alignment horizontal="left" vertical="top"/>
    </xf>
    <xf numFmtId="0" fontId="0" fillId="0" borderId="68" xfId="0" applyBorder="1" applyAlignment="1">
      <alignment horizontal="left" vertical="top"/>
    </xf>
    <xf numFmtId="0" fontId="0" fillId="0" borderId="62" xfId="0" applyBorder="1"/>
    <xf numFmtId="0" fontId="0" fillId="0" borderId="1" xfId="0" applyBorder="1"/>
    <xf numFmtId="0" fontId="16" fillId="0" borderId="1" xfId="1" applyBorder="1" applyAlignment="1">
      <alignment vertical="center"/>
    </xf>
    <xf numFmtId="0" fontId="3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69" xfId="0" applyBorder="1"/>
    <xf numFmtId="0" fontId="0" fillId="0" borderId="0" xfId="0" applyAlignment="1">
      <alignment vertical="top"/>
    </xf>
    <xf numFmtId="0" fontId="31" fillId="0" borderId="1" xfId="0" applyFont="1" applyBorder="1" applyAlignment="1">
      <alignment horizontal="left"/>
    </xf>
    <xf numFmtId="0" fontId="0" fillId="0" borderId="5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6" fillId="0" borderId="1" xfId="1" applyBorder="1" applyAlignment="1">
      <alignment horizontal="left" vertical="center" wrapText="1"/>
    </xf>
    <xf numFmtId="0" fontId="0" fillId="0" borderId="71" xfId="0" applyBorder="1"/>
    <xf numFmtId="0" fontId="0" fillId="0" borderId="72" xfId="0" applyBorder="1" applyAlignment="1">
      <alignment wrapText="1"/>
    </xf>
    <xf numFmtId="0" fontId="16" fillId="0" borderId="72" xfId="1" applyBorder="1" applyAlignment="1">
      <alignment horizontal="left" vertical="center" wrapText="1"/>
    </xf>
    <xf numFmtId="0" fontId="31" fillId="0" borderId="72" xfId="0" applyFont="1" applyBorder="1" applyAlignment="1">
      <alignment horizontal="left" vertical="center"/>
    </xf>
    <xf numFmtId="0" fontId="0" fillId="0" borderId="72" xfId="0" applyBorder="1" applyAlignment="1">
      <alignment horizontal="left" vertical="top"/>
    </xf>
    <xf numFmtId="0" fontId="0" fillId="0" borderId="73" xfId="0" applyBorder="1"/>
    <xf numFmtId="0" fontId="0" fillId="0" borderId="0" xfId="0" applyAlignment="1">
      <alignment horizontal="center" vertical="center"/>
    </xf>
    <xf numFmtId="0" fontId="0" fillId="0" borderId="36" xfId="0" applyBorder="1"/>
    <xf numFmtId="0" fontId="0" fillId="0" borderId="34" xfId="0" applyBorder="1"/>
    <xf numFmtId="0" fontId="16" fillId="0" borderId="25" xfId="1" applyBorder="1" applyAlignment="1">
      <alignment vertical="center"/>
    </xf>
    <xf numFmtId="0" fontId="16" fillId="0" borderId="26" xfId="1" applyBorder="1" applyAlignment="1"/>
    <xf numFmtId="0" fontId="16" fillId="0" borderId="26" xfId="1" applyBorder="1" applyAlignment="1">
      <alignment vertical="center"/>
    </xf>
    <xf numFmtId="0" fontId="0" fillId="0" borderId="25" xfId="0" applyBorder="1" applyAlignment="1">
      <alignment horizontal="left"/>
    </xf>
    <xf numFmtId="0" fontId="32" fillId="0" borderId="26" xfId="1" applyFont="1" applyBorder="1" applyAlignment="1"/>
    <xf numFmtId="0" fontId="32" fillId="0" borderId="26" xfId="1" applyFont="1" applyBorder="1" applyAlignment="1">
      <alignment vertical="center"/>
    </xf>
    <xf numFmtId="0" fontId="16" fillId="0" borderId="25" xfId="1" applyBorder="1" applyAlignment="1">
      <alignment horizontal="left" vertical="center" wrapText="1"/>
    </xf>
    <xf numFmtId="0" fontId="32" fillId="0" borderId="22" xfId="1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0" fillId="0" borderId="25" xfId="0" applyBorder="1" applyAlignment="1">
      <alignment horizontal="left" vertical="center"/>
    </xf>
    <xf numFmtId="0" fontId="0" fillId="0" borderId="26" xfId="0" applyBorder="1"/>
    <xf numFmtId="0" fontId="0" fillId="0" borderId="26" xfId="0" applyBorder="1" applyAlignment="1">
      <alignment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vertical="center"/>
    </xf>
    <xf numFmtId="0" fontId="36" fillId="0" borderId="2" xfId="0" applyFont="1" applyBorder="1"/>
    <xf numFmtId="0" fontId="36" fillId="0" borderId="18" xfId="0" applyFont="1" applyBorder="1"/>
    <xf numFmtId="0" fontId="36" fillId="0" borderId="2" xfId="0" applyFont="1" applyBorder="1" applyAlignment="1">
      <alignment vertical="top"/>
    </xf>
    <xf numFmtId="0" fontId="16" fillId="0" borderId="34" xfId="1" applyBorder="1"/>
    <xf numFmtId="0" fontId="18" fillId="0" borderId="34" xfId="0" applyFont="1" applyBorder="1" applyAlignment="1">
      <alignment readingOrder="1"/>
    </xf>
    <xf numFmtId="0" fontId="18" fillId="7" borderId="34" xfId="0" applyFont="1" applyFill="1" applyBorder="1" applyAlignment="1">
      <alignment readingOrder="1"/>
    </xf>
    <xf numFmtId="0" fontId="18" fillId="7" borderId="34" xfId="0" applyFont="1" applyFill="1" applyBorder="1"/>
    <xf numFmtId="0" fontId="18" fillId="0" borderId="34" xfId="0" applyFont="1" applyBorder="1"/>
    <xf numFmtId="0" fontId="18" fillId="8" borderId="34" xfId="0" applyFont="1" applyFill="1" applyBorder="1"/>
    <xf numFmtId="0" fontId="37" fillId="7" borderId="34" xfId="0" applyFont="1" applyFill="1" applyBorder="1"/>
    <xf numFmtId="0" fontId="18" fillId="9" borderId="34" xfId="0" applyFont="1" applyFill="1" applyBorder="1"/>
    <xf numFmtId="0" fontId="18" fillId="7" borderId="35" xfId="0" applyFont="1" applyFill="1" applyBorder="1"/>
    <xf numFmtId="0" fontId="18" fillId="0" borderId="35" xfId="0" applyFont="1" applyBorder="1" applyAlignment="1">
      <alignment readingOrder="1"/>
    </xf>
    <xf numFmtId="0" fontId="18" fillId="7" borderId="35" xfId="0" applyFont="1" applyFill="1" applyBorder="1" applyAlignment="1">
      <alignment readingOrder="1"/>
    </xf>
    <xf numFmtId="0" fontId="18" fillId="9" borderId="35" xfId="0" applyFont="1" applyFill="1" applyBorder="1" applyAlignment="1">
      <alignment readingOrder="1"/>
    </xf>
    <xf numFmtId="0" fontId="18" fillId="9" borderId="35" xfId="0" applyFont="1" applyFill="1" applyBorder="1"/>
    <xf numFmtId="0" fontId="18" fillId="0" borderId="35" xfId="0" applyFont="1" applyBorder="1"/>
    <xf numFmtId="0" fontId="18" fillId="0" borderId="43" xfId="0" applyFont="1" applyBorder="1"/>
    <xf numFmtId="0" fontId="18" fillId="10" borderId="35" xfId="0" applyFont="1" applyFill="1" applyBorder="1" applyAlignment="1">
      <alignment readingOrder="1"/>
    </xf>
    <xf numFmtId="0" fontId="18" fillId="11" borderId="35" xfId="0" applyFont="1" applyFill="1" applyBorder="1" applyAlignment="1">
      <alignment readingOrder="1"/>
    </xf>
    <xf numFmtId="0" fontId="18" fillId="12" borderId="34" xfId="0" applyFont="1" applyFill="1" applyBorder="1"/>
    <xf numFmtId="0" fontId="0" fillId="0" borderId="60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28" fillId="0" borderId="25" xfId="1" applyFont="1" applyBorder="1" applyAlignment="1">
      <alignment horizontal="left" vertical="center"/>
    </xf>
    <xf numFmtId="0" fontId="28" fillId="0" borderId="21" xfId="1" applyFont="1" applyBorder="1" applyAlignment="1">
      <alignment horizontal="left" vertical="center"/>
    </xf>
    <xf numFmtId="0" fontId="39" fillId="0" borderId="74" xfId="0" applyFont="1" applyBorder="1" applyAlignment="1">
      <alignment vertical="center" wrapText="1"/>
    </xf>
    <xf numFmtId="0" fontId="16" fillId="0" borderId="74" xfId="1" applyBorder="1" applyAlignment="1">
      <alignment vertical="center" wrapText="1"/>
    </xf>
    <xf numFmtId="0" fontId="16" fillId="0" borderId="0" xfId="1" applyBorder="1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0" fontId="29" fillId="0" borderId="25" xfId="0" applyFont="1" applyBorder="1" applyAlignment="1">
      <alignment horizontal="left"/>
    </xf>
    <xf numFmtId="0" fontId="16" fillId="13" borderId="75" xfId="1" applyFill="1" applyBorder="1" applyAlignment="1">
      <alignment horizontal="left" vertical="center" wrapText="1"/>
    </xf>
    <xf numFmtId="0" fontId="16" fillId="13" borderId="0" xfId="1" applyFill="1" applyBorder="1" applyAlignment="1"/>
    <xf numFmtId="0" fontId="0" fillId="13" borderId="0" xfId="0" applyFill="1" applyBorder="1" applyAlignment="1">
      <alignment horizontal="left"/>
    </xf>
    <xf numFmtId="0" fontId="1" fillId="13" borderId="26" xfId="0" applyFont="1" applyFill="1" applyBorder="1" applyAlignment="1">
      <alignment horizontal="center"/>
    </xf>
    <xf numFmtId="0" fontId="16" fillId="13" borderId="0" xfId="1" applyFill="1" applyBorder="1" applyAlignment="1">
      <alignment vertical="center"/>
    </xf>
    <xf numFmtId="0" fontId="0" fillId="13" borderId="0" xfId="0" applyFill="1" applyBorder="1" applyAlignment="1">
      <alignment horizontal="left" vertical="center"/>
    </xf>
    <xf numFmtId="0" fontId="0" fillId="13" borderId="76" xfId="0" applyFill="1" applyBorder="1"/>
    <xf numFmtId="0" fontId="0" fillId="13" borderId="26" xfId="0" applyFill="1" applyBorder="1" applyAlignment="1">
      <alignment vertical="center"/>
    </xf>
    <xf numFmtId="0" fontId="16" fillId="13" borderId="25" xfId="1" applyFill="1" applyBorder="1" applyAlignment="1">
      <alignment horizontal="left" vertical="center"/>
    </xf>
    <xf numFmtId="0" fontId="16" fillId="13" borderId="21" xfId="1" applyFill="1" applyBorder="1" applyAlignment="1">
      <alignment horizontal="left" vertical="center" wrapText="1"/>
    </xf>
    <xf numFmtId="0" fontId="0" fillId="14" borderId="25" xfId="0" applyFill="1" applyBorder="1" applyAlignment="1">
      <alignment horizontal="left"/>
    </xf>
    <xf numFmtId="0" fontId="16" fillId="14" borderId="0" xfId="1" applyFill="1" applyBorder="1" applyAlignment="1">
      <alignment vertical="center"/>
    </xf>
    <xf numFmtId="0" fontId="0" fillId="14" borderId="0" xfId="0" applyFill="1" applyBorder="1" applyAlignment="1">
      <alignment horizontal="left" vertical="center"/>
    </xf>
    <xf numFmtId="0" fontId="0" fillId="14" borderId="26" xfId="0" applyFill="1" applyBorder="1" applyAlignment="1">
      <alignment vertical="center"/>
    </xf>
    <xf numFmtId="0" fontId="28" fillId="15" borderId="25" xfId="1" applyFont="1" applyFill="1" applyBorder="1" applyAlignment="1">
      <alignment horizontal="left" vertical="center"/>
    </xf>
    <xf numFmtId="0" fontId="40" fillId="15" borderId="0" xfId="1" applyFont="1" applyFill="1" applyBorder="1" applyAlignment="1"/>
    <xf numFmtId="0" fontId="29" fillId="15" borderId="0" xfId="0" applyFont="1" applyFill="1" applyBorder="1" applyAlignment="1">
      <alignment horizontal="left"/>
    </xf>
    <xf numFmtId="0" fontId="29" fillId="15" borderId="26" xfId="0" applyFont="1" applyFill="1" applyBorder="1"/>
    <xf numFmtId="0" fontId="40" fillId="15" borderId="0" xfId="1" applyFont="1" applyFill="1" applyBorder="1" applyAlignment="1">
      <alignment vertical="center"/>
    </xf>
    <xf numFmtId="0" fontId="29" fillId="15" borderId="0" xfId="0" applyFont="1" applyFill="1" applyBorder="1" applyAlignment="1">
      <alignment horizontal="left" vertical="center"/>
    </xf>
    <xf numFmtId="0" fontId="38" fillId="15" borderId="26" xfId="0" applyFont="1" applyFill="1" applyBorder="1" applyAlignment="1">
      <alignment vertical="center"/>
    </xf>
    <xf numFmtId="0" fontId="29" fillId="15" borderId="26" xfId="0" applyFont="1" applyFill="1" applyBorder="1" applyAlignment="1">
      <alignment vertical="center"/>
    </xf>
    <xf numFmtId="0" fontId="28" fillId="15" borderId="25" xfId="1" applyFont="1" applyFill="1" applyBorder="1" applyAlignment="1">
      <alignment horizontal="left" vertical="center" wrapText="1"/>
    </xf>
    <xf numFmtId="0" fontId="28" fillId="15" borderId="21" xfId="1" applyFont="1" applyFill="1" applyBorder="1" applyAlignment="1">
      <alignment horizontal="left" vertical="center" wrapText="1"/>
    </xf>
    <xf numFmtId="0" fontId="40" fillId="15" borderId="33" xfId="1" applyFont="1" applyFill="1" applyBorder="1" applyAlignment="1">
      <alignment vertical="center"/>
    </xf>
    <xf numFmtId="0" fontId="29" fillId="15" borderId="33" xfId="0" applyFont="1" applyFill="1" applyBorder="1" applyAlignment="1">
      <alignment horizontal="left" vertical="center"/>
    </xf>
    <xf numFmtId="0" fontId="29" fillId="15" borderId="22" xfId="0" applyFont="1" applyFill="1" applyBorder="1" applyAlignment="1">
      <alignment vertical="center"/>
    </xf>
    <xf numFmtId="0" fontId="28" fillId="14" borderId="1" xfId="1" applyFont="1" applyFill="1" applyBorder="1" applyAlignment="1">
      <alignment horizontal="left" vertical="center"/>
    </xf>
    <xf numFmtId="0" fontId="28" fillId="15" borderId="1" xfId="1" applyFont="1" applyFill="1" applyBorder="1" applyAlignment="1">
      <alignment horizontal="left" vertical="center"/>
    </xf>
    <xf numFmtId="0" fontId="0" fillId="15" borderId="60" xfId="0" applyFont="1" applyFill="1" applyBorder="1" applyAlignment="1">
      <alignment horizontal="left" vertical="center"/>
    </xf>
    <xf numFmtId="0" fontId="29" fillId="15" borderId="46" xfId="0" applyFont="1" applyFill="1" applyBorder="1" applyAlignment="1">
      <alignment horizontal="left" vertical="center"/>
    </xf>
    <xf numFmtId="0" fontId="29" fillId="15" borderId="42" xfId="0" applyFont="1" applyFill="1" applyBorder="1" applyAlignment="1">
      <alignment horizontal="left" vertical="center"/>
    </xf>
    <xf numFmtId="0" fontId="16" fillId="15" borderId="1" xfId="1" applyFill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26" fillId="0" borderId="58" xfId="0" applyFont="1" applyBorder="1" applyAlignment="1">
      <alignment horizontal="left" vertical="center"/>
    </xf>
    <xf numFmtId="0" fontId="26" fillId="0" borderId="48" xfId="0" applyFont="1" applyBorder="1" applyAlignment="1">
      <alignment horizontal="left" vertical="center"/>
    </xf>
    <xf numFmtId="0" fontId="26" fillId="0" borderId="59" xfId="0" applyFont="1" applyBorder="1" applyAlignment="1">
      <alignment horizontal="left" vertic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26" fillId="0" borderId="47" xfId="0" applyFont="1" applyBorder="1" applyAlignment="1">
      <alignment horizontal="left" vertical="center"/>
    </xf>
    <xf numFmtId="0" fontId="26" fillId="0" borderId="46" xfId="0" applyFont="1" applyBorder="1" applyAlignment="1">
      <alignment horizontal="left" vertical="center"/>
    </xf>
    <xf numFmtId="0" fontId="26" fillId="0" borderId="42" xfId="0" applyFont="1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29" fillId="0" borderId="60" xfId="0" applyFont="1" applyBorder="1" applyAlignment="1">
      <alignment horizontal="left" vertical="center"/>
    </xf>
    <xf numFmtId="0" fontId="29" fillId="0" borderId="46" xfId="0" applyFont="1" applyBorder="1" applyAlignment="1">
      <alignment horizontal="left" vertical="center"/>
    </xf>
    <xf numFmtId="0" fontId="29" fillId="0" borderId="4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6" xfId="0" applyFon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1" fillId="2" borderId="61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2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24" xfId="0" applyBorder="1" applyAlignment="1">
      <alignment horizontal="left"/>
    </xf>
    <xf numFmtId="0" fontId="13" fillId="0" borderId="3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26" xfId="0" applyFont="1" applyBorder="1" applyAlignment="1">
      <alignment horizontal="center"/>
    </xf>
    <xf numFmtId="0" fontId="0" fillId="0" borderId="9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9" fillId="0" borderId="23" xfId="0" applyFont="1" applyBorder="1" applyAlignment="1" applyProtection="1">
      <alignment horizontal="left" vertical="top" wrapText="1"/>
      <protection hidden="1"/>
    </xf>
    <xf numFmtId="0" fontId="9" fillId="0" borderId="29" xfId="0" applyFont="1" applyBorder="1" applyAlignment="1" applyProtection="1">
      <alignment horizontal="left" vertical="top" wrapText="1"/>
      <protection hidden="1"/>
    </xf>
    <xf numFmtId="0" fontId="9" fillId="0" borderId="24" xfId="0" applyFont="1" applyBorder="1" applyAlignment="1" applyProtection="1">
      <alignment horizontal="left" vertical="top" wrapText="1"/>
      <protection hidden="1"/>
    </xf>
    <xf numFmtId="0" fontId="9" fillId="0" borderId="25" xfId="0" applyFont="1" applyBorder="1" applyAlignment="1" applyProtection="1">
      <alignment horizontal="left" vertical="top" wrapText="1"/>
      <protection hidden="1"/>
    </xf>
    <xf numFmtId="0" fontId="9" fillId="0" borderId="0" xfId="0" applyFont="1" applyAlignment="1" applyProtection="1">
      <alignment horizontal="left" vertical="top" wrapText="1"/>
      <protection hidden="1"/>
    </xf>
    <xf numFmtId="0" fontId="9" fillId="0" borderId="26" xfId="0" applyFont="1" applyBorder="1" applyAlignment="1" applyProtection="1">
      <alignment horizontal="left" vertical="top" wrapText="1"/>
      <protection hidden="1"/>
    </xf>
    <xf numFmtId="0" fontId="9" fillId="0" borderId="21" xfId="0" applyFont="1" applyBorder="1" applyAlignment="1" applyP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ntal="left" vertical="top" wrapText="1"/>
      <protection hidden="1"/>
    </xf>
    <xf numFmtId="0" fontId="9" fillId="0" borderId="22" xfId="0" applyFont="1" applyBorder="1" applyAlignment="1" applyProtection="1">
      <alignment horizontal="left" vertical="top" wrapText="1"/>
      <protection hidden="1"/>
    </xf>
    <xf numFmtId="0" fontId="17" fillId="0" borderId="14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5" fillId="0" borderId="9" xfId="0" applyFont="1" applyBorder="1" applyAlignment="1">
      <alignment horizontal="left" vertical="center" wrapText="1"/>
    </xf>
    <xf numFmtId="0" fontId="35" fillId="0" borderId="7" xfId="0" applyFont="1" applyBorder="1" applyAlignment="1">
      <alignment horizontal="left" vertical="center"/>
    </xf>
    <xf numFmtId="0" fontId="35" fillId="0" borderId="8" xfId="0" applyFont="1" applyBorder="1" applyAlignment="1">
      <alignment horizontal="left" vertical="center"/>
    </xf>
    <xf numFmtId="0" fontId="34" fillId="0" borderId="9" xfId="0" applyFont="1" applyBorder="1" applyAlignment="1">
      <alignment horizontal="left" vertical="center"/>
    </xf>
    <xf numFmtId="0" fontId="25" fillId="0" borderId="9" xfId="0" applyFont="1" applyBorder="1" applyAlignment="1">
      <alignment horizontal="left" vertical="center"/>
    </xf>
    <xf numFmtId="0" fontId="10" fillId="5" borderId="28" xfId="0" applyFont="1" applyFill="1" applyBorder="1" applyAlignment="1">
      <alignment horizontal="center"/>
    </xf>
    <xf numFmtId="0" fontId="10" fillId="5" borderId="29" xfId="0" applyFont="1" applyFill="1" applyBorder="1" applyAlignment="1">
      <alignment horizontal="center"/>
    </xf>
    <xf numFmtId="0" fontId="10" fillId="5" borderId="2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17" fillId="0" borderId="6" xfId="0" applyFont="1" applyBorder="1" applyAlignment="1">
      <alignment horizontal="left" vertical="center"/>
    </xf>
    <xf numFmtId="0" fontId="34" fillId="0" borderId="6" xfId="0" applyFont="1" applyBorder="1" applyAlignment="1">
      <alignment horizontal="left" vertical="center"/>
    </xf>
    <xf numFmtId="0" fontId="29" fillId="15" borderId="21" xfId="0" applyFont="1" applyFill="1" applyBorder="1" applyAlignment="1">
      <alignment horizontal="left" vertical="center"/>
    </xf>
    <xf numFmtId="0" fontId="29" fillId="15" borderId="22" xfId="0" applyFont="1" applyFill="1" applyBorder="1" applyAlignment="1">
      <alignment horizontal="left" vertical="center"/>
    </xf>
    <xf numFmtId="0" fontId="26" fillId="15" borderId="47" xfId="0" applyFont="1" applyFill="1" applyBorder="1" applyAlignment="1">
      <alignment horizontal="left" vertical="center"/>
    </xf>
    <xf numFmtId="0" fontId="26" fillId="15" borderId="46" xfId="0" applyFont="1" applyFill="1" applyBorder="1" applyAlignment="1">
      <alignment horizontal="left" vertical="center"/>
    </xf>
    <xf numFmtId="0" fontId="26" fillId="15" borderId="42" xfId="0" applyFont="1" applyFill="1" applyBorder="1" applyAlignment="1">
      <alignment horizontal="left" vertical="center"/>
    </xf>
    <xf numFmtId="0" fontId="29" fillId="15" borderId="25" xfId="0" applyFont="1" applyFill="1" applyBorder="1" applyAlignment="1">
      <alignment horizontal="left" vertical="center"/>
    </xf>
    <xf numFmtId="0" fontId="29" fillId="15" borderId="26" xfId="0" applyFont="1" applyFill="1" applyBorder="1" applyAlignment="1">
      <alignment horizontal="left" vertical="center"/>
    </xf>
    <xf numFmtId="0" fontId="0" fillId="14" borderId="25" xfId="0" applyFill="1" applyBorder="1" applyAlignment="1">
      <alignment horizontal="left"/>
    </xf>
    <xf numFmtId="0" fontId="0" fillId="14" borderId="26" xfId="0" applyFill="1" applyBorder="1" applyAlignment="1">
      <alignment horizontal="left"/>
    </xf>
    <xf numFmtId="0" fontId="29" fillId="15" borderId="25" xfId="0" applyFont="1" applyFill="1" applyBorder="1" applyAlignment="1">
      <alignment horizontal="left"/>
    </xf>
    <xf numFmtId="0" fontId="29" fillId="15" borderId="26" xfId="0" applyFont="1" applyFill="1" applyBorder="1" applyAlignment="1">
      <alignment horizontal="left"/>
    </xf>
    <xf numFmtId="0" fontId="0" fillId="13" borderId="25" xfId="0" applyFill="1" applyBorder="1" applyAlignment="1">
      <alignment horizontal="left" vertical="center"/>
    </xf>
    <xf numFmtId="0" fontId="0" fillId="13" borderId="26" xfId="0" applyFill="1" applyBorder="1" applyAlignment="1">
      <alignment horizontal="left" vertical="center"/>
    </xf>
    <xf numFmtId="0" fontId="0" fillId="13" borderId="60" xfId="0" applyFill="1" applyBorder="1" applyAlignment="1">
      <alignment horizontal="left" vertical="center"/>
    </xf>
    <xf numFmtId="0" fontId="0" fillId="13" borderId="46" xfId="0" applyFill="1" applyBorder="1" applyAlignment="1">
      <alignment horizontal="left" vertical="center"/>
    </xf>
    <xf numFmtId="0" fontId="0" fillId="13" borderId="42" xfId="0" applyFill="1" applyBorder="1" applyAlignment="1">
      <alignment horizontal="left" vertical="center"/>
    </xf>
    <xf numFmtId="0" fontId="29" fillId="0" borderId="25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29" fillId="0" borderId="26" xfId="0" applyFont="1" applyBorder="1" applyAlignment="1">
      <alignment horizontal="left"/>
    </xf>
    <xf numFmtId="0" fontId="0" fillId="15" borderId="60" xfId="0" applyFont="1" applyFill="1" applyBorder="1" applyAlignment="1">
      <alignment horizontal="left" vertical="center"/>
    </xf>
    <xf numFmtId="0" fontId="29" fillId="15" borderId="46" xfId="0" applyFont="1" applyFill="1" applyBorder="1" applyAlignment="1">
      <alignment horizontal="left" vertical="center"/>
    </xf>
    <xf numFmtId="0" fontId="29" fillId="15" borderId="42" xfId="0" applyFont="1" applyFill="1" applyBorder="1" applyAlignment="1">
      <alignment horizontal="left" vertical="center"/>
    </xf>
    <xf numFmtId="0" fontId="38" fillId="0" borderId="25" xfId="0" applyFont="1" applyBorder="1" applyAlignment="1">
      <alignment horizontal="left"/>
    </xf>
    <xf numFmtId="0" fontId="38" fillId="0" borderId="0" xfId="0" applyFont="1" applyAlignment="1">
      <alignment horizontal="left"/>
    </xf>
    <xf numFmtId="0" fontId="38" fillId="0" borderId="26" xfId="0" applyFont="1" applyBorder="1" applyAlignment="1">
      <alignment horizontal="left"/>
    </xf>
    <xf numFmtId="0" fontId="29" fillId="0" borderId="23" xfId="0" applyFont="1" applyBorder="1" applyAlignment="1">
      <alignment horizontal="left"/>
    </xf>
    <xf numFmtId="0" fontId="29" fillId="0" borderId="29" xfId="0" applyFont="1" applyBorder="1" applyAlignment="1">
      <alignment horizontal="left"/>
    </xf>
    <xf numFmtId="0" fontId="29" fillId="0" borderId="24" xfId="0" applyFont="1" applyBorder="1" applyAlignment="1">
      <alignment horizontal="left"/>
    </xf>
    <xf numFmtId="0" fontId="22" fillId="0" borderId="9" xfId="0" applyFont="1" applyBorder="1" applyAlignment="1">
      <alignment horizontal="left" vertical="center"/>
    </xf>
    <xf numFmtId="0" fontId="23" fillId="0" borderId="7" xfId="0" applyFont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5" fillId="0" borderId="6" xfId="0" applyFont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9" fillId="0" borderId="21" xfId="0" applyFont="1" applyBorder="1" applyAlignment="1">
      <alignment horizontal="left"/>
    </xf>
    <xf numFmtId="0" fontId="29" fillId="0" borderId="33" xfId="0" applyFont="1" applyBorder="1" applyAlignment="1">
      <alignment horizontal="left"/>
    </xf>
    <xf numFmtId="0" fontId="29" fillId="0" borderId="22" xfId="0" applyFont="1" applyBorder="1" applyAlignment="1">
      <alignment horizontal="left"/>
    </xf>
    <xf numFmtId="0" fontId="0" fillId="14" borderId="60" xfId="0" applyFill="1" applyBorder="1" applyAlignment="1">
      <alignment horizontal="left" vertical="center"/>
    </xf>
    <xf numFmtId="0" fontId="29" fillId="14" borderId="46" xfId="0" applyFont="1" applyFill="1" applyBorder="1" applyAlignment="1">
      <alignment horizontal="left" vertical="center"/>
    </xf>
    <xf numFmtId="0" fontId="29" fillId="14" borderId="42" xfId="0" applyFont="1" applyFill="1" applyBorder="1" applyAlignment="1">
      <alignment horizontal="left" vertical="center"/>
    </xf>
    <xf numFmtId="0" fontId="0" fillId="13" borderId="60" xfId="0" applyFill="1" applyBorder="1" applyAlignment="1">
      <alignment vertical="center"/>
    </xf>
    <xf numFmtId="0" fontId="0" fillId="13" borderId="46" xfId="0" applyFill="1" applyBorder="1" applyAlignment="1">
      <alignment vertical="center"/>
    </xf>
    <xf numFmtId="0" fontId="0" fillId="13" borderId="42" xfId="0" applyFill="1" applyBorder="1" applyAlignment="1">
      <alignment vertical="center"/>
    </xf>
    <xf numFmtId="0" fontId="29" fillId="15" borderId="60" xfId="0" applyFont="1" applyFill="1" applyBorder="1" applyAlignment="1">
      <alignment horizontal="left" vertical="center"/>
    </xf>
    <xf numFmtId="0" fontId="14" fillId="0" borderId="55" xfId="0" applyFont="1" applyBorder="1"/>
    <xf numFmtId="0" fontId="14" fillId="0" borderId="56" xfId="0" applyFont="1" applyBorder="1"/>
    <xf numFmtId="0" fontId="14" fillId="0" borderId="37" xfId="0" applyFont="1" applyBorder="1"/>
    <xf numFmtId="0" fontId="14" fillId="0" borderId="51" xfId="0" applyFont="1" applyBorder="1"/>
    <xf numFmtId="0" fontId="14" fillId="0" borderId="53" xfId="0" applyFont="1" applyBorder="1"/>
    <xf numFmtId="0" fontId="14" fillId="0" borderId="39" xfId="0" applyFont="1" applyBorder="1"/>
    <xf numFmtId="0" fontId="14" fillId="0" borderId="3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CC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717550</xdr:colOff>
      <xdr:row>0</xdr:row>
      <xdr:rowOff>69850</xdr:rowOff>
    </xdr:from>
    <xdr:to>
      <xdr:col>2</xdr:col>
      <xdr:colOff>523875</xdr:colOff>
      <xdr:row>2</xdr:row>
      <xdr:rowOff>352425</xdr:rowOff>
    </xdr:to>
    <xdr:pic>
      <xdr:nvPicPr>
        <xdr:cNvPr id="2" name="Picture 1" descr="Wisconsin Department of Public Instruction Icon">
          <a:extLst>
            <a:ext uri="{FF2B5EF4-FFF2-40B4-BE49-F238E27FC236}">
              <a16:creationId xmlns:a16="http://schemas.microsoft.com/office/drawing/2014/main" xmlns="" id="{90C94567-C10F-4B5E-AF9E-976815449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323975" y="66675"/>
          <a:ext cx="657225" cy="6572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717550</xdr:colOff>
      <xdr:row>0</xdr:row>
      <xdr:rowOff>69850</xdr:rowOff>
    </xdr:from>
    <xdr:to>
      <xdr:col>2</xdr:col>
      <xdr:colOff>523875</xdr:colOff>
      <xdr:row>2</xdr:row>
      <xdr:rowOff>352425</xdr:rowOff>
    </xdr:to>
    <xdr:pic>
      <xdr:nvPicPr>
        <xdr:cNvPr id="2" name="Picture 1" descr="Wisconsin Department of Public Instruction Icon">
          <a:extLst>
            <a:ext uri="{FF2B5EF4-FFF2-40B4-BE49-F238E27FC236}">
              <a16:creationId xmlns:a16="http://schemas.microsoft.com/office/drawing/2014/main" xmlns="" id="{674CCD99-8138-4B93-B3F7-E3FE181E1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323975" y="66675"/>
          <a:ext cx="654050" cy="654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am04.safelinks.protection.outlook.com/?url=https%3A%2F%2Fwisconsindpi.visualstudio.com%2Fd03023ea-9e63-4e4e-aa64-656b0167ed08%2F_workitems%2Fedit%2F243331&amp;data=05%7C02%7CVindhya.Jajavarapu%40dpi.wi.gov%7Cfe959cee0cbd4dc1ad9d08de9b6c44db%7C1654d14032604903b5b718450051ce16%7C1%7C0%7C639119086506636003%7CUnknown%7CTWFpbGZsb3d8eyJFbXB0eU1hcGkiOnRydWUsIlYiOiIwLjAuMDAwMCIsIlAiOiJXaW4zMiIsIkFOIjoiTWFpbCIsIldUIjoyfQ%3D%3D%7C0%7C%7C%7C&amp;sdata=QwAdXbsWCsOhxsQqyDeQAfuGD0tykEb%2F3L%2BNHY6L1pI%3D&amp;reserved=0" TargetMode="External"/><Relationship Id="rId13" Type="http://schemas.openxmlformats.org/officeDocument/2006/relationships/hyperlink" Target="https://nam04.safelinks.protection.outlook.com/?url=https%3A%2F%2Fwisconsindpi.visualstudio.com%2Fd03023ea-9e63-4e4e-aa64-656b0167ed08%2F_workitems%2Fedit%2F242835&amp;data=05%7C02%7CVindhya.Jajavarapu%40dpi.wi.gov%7Cfe959cee0cbd4dc1ad9d08de9b6c44db%7C1654d14032604903b5b718450051ce16%7C1%7C0%7C639119086507011493%7CUnknown%7CTWFpbGZsb3d8eyJFbXB0eU1hcGkiOnRydWUsIlYiOiIwLjAuMDAwMCIsIlAiOiJXaW4zMiIsIkFOIjoiTWFpbCIsIldUIjoyfQ%3D%3D%7C0%7C%7C%7C&amp;sdata=rSS9xdOXzMSRykxgKBwUed1d79HdFJ2z7GGVg9ozjOQ%3D&amp;reserved=0" TargetMode="External"/><Relationship Id="rId18" Type="http://schemas.openxmlformats.org/officeDocument/2006/relationships/hyperlink" Target="https://nam04.safelinks.protection.outlook.com/?url=https%3A%2F%2Fwisconsindpi.visualstudio.com%2Fd03023ea-9e63-4e4e-aa64-656b0167ed08%2F_workitems%2Fedit%2F242836&amp;data=05%7C02%7CVindhya.Jajavarapu%40dpi.wi.gov%7Cfe959cee0cbd4dc1ad9d08de9b6c44db%7C1654d14032604903b5b718450051ce16%7C1%7C0%7C639119086507241693%7CUnknown%7CTWFpbGZsb3d8eyJFbXB0eU1hcGkiOnRydWUsIlYiOiIwLjAuMDAwMCIsIlAiOiJXaW4zMiIsIkFOIjoiTWFpbCIsIldUIjoyfQ%3D%3D%7C0%7C%7C%7C&amp;sdata=Ai1Zku%2Fsjb29b1ijDg019l%2FFAA%2FKDvS4dV%2B0cfJuInw%3D&amp;reserved=0" TargetMode="External"/><Relationship Id="rId26" Type="http://schemas.openxmlformats.org/officeDocument/2006/relationships/hyperlink" Target="https://wisconsindpi.visualstudio.com/CRM/_workitems/edit/241901/" TargetMode="External"/><Relationship Id="rId39" Type="http://schemas.openxmlformats.org/officeDocument/2006/relationships/vmlDrawing" Target="../drawings/vmlDrawing1.vml"/><Relationship Id="rId3" Type="http://schemas.openxmlformats.org/officeDocument/2006/relationships/hyperlink" Target="https://wisconsindpi.visualstudio.com/CRM/_workitems/edit/240260" TargetMode="External"/><Relationship Id="rId21" Type="http://schemas.openxmlformats.org/officeDocument/2006/relationships/hyperlink" Target="https://nam04.safelinks.protection.outlook.com/?url=https%3A%2F%2Fwisconsindpi.visualstudio.com%2Fd03023ea-9e63-4e4e-aa64-656b0167ed08%2F_workitems%2Fedit%2F242835&amp;data=05%7C02%7CVindhya.Jajavarapu%40dpi.wi.gov%7Cfe959cee0cbd4dc1ad9d08de9b6c44db%7C1654d14032604903b5b718450051ce16%7C1%7C0%7C639119086507011493%7CUnknown%7CTWFpbGZsb3d8eyJFbXB0eU1hcGkiOnRydWUsIlYiOiIwLjAuMDAwMCIsIlAiOiJXaW4zMiIsIkFOIjoiTWFpbCIsIldUIjoyfQ%3D%3D%7C0%7C%7C%7C&amp;sdata=rSS9xdOXzMSRykxgKBwUed1d79HdFJ2z7GGVg9ozjOQ%3D&amp;reserved=0" TargetMode="External"/><Relationship Id="rId34" Type="http://schemas.openxmlformats.org/officeDocument/2006/relationships/hyperlink" Target="https://wisconsindpi.visualstudio.com/CRM/_workitems/edit/242322/" TargetMode="External"/><Relationship Id="rId7" Type="http://schemas.openxmlformats.org/officeDocument/2006/relationships/hyperlink" Target="https://wisconsindpi.visualstudio.com/CRM/_workitems/edit/239398" TargetMode="External"/><Relationship Id="rId12" Type="http://schemas.openxmlformats.org/officeDocument/2006/relationships/hyperlink" Target="https://nam04.safelinks.protection.outlook.com/?url=https%3A%2F%2Fwisconsindpi.visualstudio.com%2Fd03023ea-9e63-4e4e-aa64-656b0167ed08%2F_workitems%2Fedit%2F242837&amp;data=05%7C02%7CVindhya.Jajavarapu%40dpi.wi.gov%7Cfe959cee0cbd4dc1ad9d08de9b6c44db%7C1654d14032604903b5b718450051ce16%7C1%7C0%7C639119086506968414%7CUnknown%7CTWFpbGZsb3d8eyJFbXB0eU1hcGkiOnRydWUsIlYiOiIwLjAuMDAwMCIsIlAiOiJXaW4zMiIsIkFOIjoiTWFpbCIsIldUIjoyfQ%3D%3D%7C0%7C%7C%7C&amp;sdata=4GfGdKJ06aRISF%2F5JaWNB7ibKnYNiUWPT%2BfGHcOripI%3D&amp;reserved=0" TargetMode="External"/><Relationship Id="rId17" Type="http://schemas.openxmlformats.org/officeDocument/2006/relationships/hyperlink" Target="https://nam04.safelinks.protection.outlook.com/?url=https%3A%2F%2Fwisconsindpi.visualstudio.com%2Fd03023ea-9e63-4e4e-aa64-656b0167ed08%2F_workitems%2Fedit%2F242846&amp;data=05%7C02%7CVindhya.Jajavarapu%40dpi.wi.gov%7Cfe959cee0cbd4dc1ad9d08de9b6c44db%7C1654d14032604903b5b718450051ce16%7C1%7C0%7C639119086507215531%7CUnknown%7CTWFpbGZsb3d8eyJFbXB0eU1hcGkiOnRydWUsIlYiOiIwLjAuMDAwMCIsIlAiOiJXaW4zMiIsIkFOIjoiTWFpbCIsIldUIjoyfQ%3D%3D%7C0%7C%7C%7C&amp;sdata=IiEntG9zDm36%2FCGO827OkYZIyWIt5wI%2FU7DPLCYgn7c%3D&amp;reserved=0" TargetMode="External"/><Relationship Id="rId25" Type="http://schemas.openxmlformats.org/officeDocument/2006/relationships/hyperlink" Target="https://wisconsindpi.visualstudio.com/CRM/_workitems/edit/242245/" TargetMode="External"/><Relationship Id="rId33" Type="http://schemas.openxmlformats.org/officeDocument/2006/relationships/hyperlink" Target="https://wisconsindpi.visualstudio.com/CRM/_workitems/edit/240530/" TargetMode="External"/><Relationship Id="rId38" Type="http://schemas.openxmlformats.org/officeDocument/2006/relationships/drawing" Target="../drawings/drawing1.xml"/><Relationship Id="rId2" Type="http://schemas.openxmlformats.org/officeDocument/2006/relationships/hyperlink" Target="https://nam04.safelinks.protection.outlook.com/?url=https%3A%2F%2Fwisconsindpi.visualstudio.com%2Fd03023ea-9e63-4e4e-aa64-656b0167ed08%2F_workitems%2Fedit%2F238818&amp;data=05%7C02%7CVindhya.Jajavarapu%40dpi.wi.gov%7C246e1aa3afb6465864b708de81399456%7C1654d14032604903b5b718450051ce16%7C1%7C0%7C639090281497163673%7CUnknown%7CTWFpbGZsb3d8eyJFbXB0eU1hcGkiOnRydWUsIlYiOiIwLjAuMDAwMCIsIlAiOiJXaW4zMiIsIkFOIjoiTWFpbCIsIldUIjoyfQ%3D%3D%7C0%7C%7C%7C&amp;sdata=pTnU8wPsa%2FiTpx29oz3O48k7yZZlTluKSdXhbswEk3M%3D&amp;reserved=0" TargetMode="External"/><Relationship Id="rId16" Type="http://schemas.openxmlformats.org/officeDocument/2006/relationships/hyperlink" Target="https://nam04.safelinks.protection.outlook.com/?url=https%3A%2F%2Fwisconsindpi.visualstudio.com%2Fd03023ea-9e63-4e4e-aa64-656b0167ed08%2F_workitems%2Fedit%2F242844&amp;data=05%7C02%7CVindhya.Jajavarapu%40dpi.wi.gov%7Cfe959cee0cbd4dc1ad9d08de9b6c44db%7C1654d14032604903b5b718450051ce16%7C1%7C0%7C639119086507160002%7CUnknown%7CTWFpbGZsb3d8eyJFbXB0eU1hcGkiOnRydWUsIlYiOiIwLjAuMDAwMCIsIlAiOiJXaW4zMiIsIkFOIjoiTWFpbCIsIldUIjoyfQ%3D%3D%7C0%7C%7C%7C&amp;sdata=vMgYXbcSb2ea5rnbQEXxfAVs8rNLSgkH227ly5XY%2BZ0%3D&amp;reserved=0" TargetMode="External"/><Relationship Id="rId20" Type="http://schemas.openxmlformats.org/officeDocument/2006/relationships/hyperlink" Target="https://nam04.safelinks.protection.outlook.com/?url=https%3A%2F%2Fwisconsindpi.visualstudio.com%2Fd03023ea-9e63-4e4e-aa64-656b0167ed08%2F_workitems%2Fedit%2F242837&amp;data=05%7C02%7CVindhya.Jajavarapu%40dpi.wi.gov%7Cfe959cee0cbd4dc1ad9d08de9b6c44db%7C1654d14032604903b5b718450051ce16%7C1%7C0%7C639119086506968414%7CUnknown%7CTWFpbGZsb3d8eyJFbXB0eU1hcGkiOnRydWUsIlYiOiIwLjAuMDAwMCIsIlAiOiJXaW4zMiIsIkFOIjoiTWFpbCIsIldUIjoyfQ%3D%3D%7C0%7C%7C%7C&amp;sdata=4GfGdKJ06aRISF%2F5JaWNB7ibKnYNiUWPT%2BfGHcOripI%3D&amp;reserved=0" TargetMode="External"/><Relationship Id="rId29" Type="http://schemas.openxmlformats.org/officeDocument/2006/relationships/hyperlink" Target="https://wisconsindpi.visualstudio.com/CRM/_workitems/edit/241908/" TargetMode="External"/><Relationship Id="rId1" Type="http://schemas.openxmlformats.org/officeDocument/2006/relationships/hyperlink" Target="https://nam04.safelinks.protection.outlook.com/?url=https%3A%2F%2Fwisconsindpi.visualstudio.com%2Fd03023ea-9e63-4e4e-aa64-656b0167ed08%2F_workitems%2Fedit%2F238433&amp;data=05%7C02%7CVindhya.Jajavarapu%40dpi.wi.gov%7C246e1aa3afb6465864b708de81399456%7C1654d14032604903b5b718450051ce16%7C1%7C0%7C639090281497125747%7CUnknown%7CTWFpbGZsb3d8eyJFbXB0eU1hcGkiOnRydWUsIlYiOiIwLjAuMDAwMCIsIlAiOiJXaW4zMiIsIkFOIjoiTWFpbCIsIldUIjoyfQ%3D%3D%7C0%7C%7C%7C&amp;sdata=Gi2eRceXSdW0LTNXeJRaztxi7NUWFRcmX%2Bq4fTty%2FHI%3D&amp;reserved=0" TargetMode="External"/><Relationship Id="rId6" Type="http://schemas.openxmlformats.org/officeDocument/2006/relationships/hyperlink" Target="https://nam04.safelinks.protection.outlook.com/?url=https%3A%2F%2Fwisconsindpi.visualstudio.com%2Fd03023ea-9e63-4e4e-aa64-656b0167ed08%2F_workitems%2Fedit%2F238819&amp;data=05%7C02%7CVindhya.Jajavarapu%40dpi.wi.gov%7C246e1aa3afb6465864b708de81399456%7C1654d14032604903b5b718450051ce16%7C1%7C0%7C639090281497175770%7CUnknown%7CTWFpbGZsb3d8eyJFbXB0eU1hcGkiOnRydWUsIlYiOiIwLjAuMDAwMCIsIlAiOiJXaW4zMiIsIkFOIjoiTWFpbCIsIldUIjoyfQ%3D%3D%7C0%7C%7C%7C&amp;sdata=19oXiOkkvaHn5ulrwxBJsvwxUZsDQ%2Fi0suFMqkeOqYA%3D&amp;reserved=0" TargetMode="External"/><Relationship Id="rId11" Type="http://schemas.openxmlformats.org/officeDocument/2006/relationships/hyperlink" Target="https://nam04.safelinks.protection.outlook.com/?url=https%3A%2F%2Fwisconsindpi.visualstudio.com%2Fd03023ea-9e63-4e4e-aa64-656b0167ed08%2F_workitems%2Fedit%2F242845&amp;data=05%7C02%7CVindhya.Jajavarapu%40dpi.wi.gov%7Cfe959cee0cbd4dc1ad9d08de9b6c44db%7C1654d14032604903b5b718450051ce16%7C1%7C0%7C639119086506928217%7CUnknown%7CTWFpbGZsb3d8eyJFbXB0eU1hcGkiOnRydWUsIlYiOiIwLjAuMDAwMCIsIlAiOiJXaW4zMiIsIkFOIjoiTWFpbCIsIldUIjoyfQ%3D%3D%7C0%7C%7C%7C&amp;sdata=T0wbgh2MozP06Z721I%2FTtXwF0lNOSTx%2BFzNxFmgFXbU%3D&amp;reserved=0" TargetMode="External"/><Relationship Id="rId24" Type="http://schemas.openxmlformats.org/officeDocument/2006/relationships/hyperlink" Target="https://wisconsindpi.visualstudio.com/CRM/_workitems/edit/242446/" TargetMode="External"/><Relationship Id="rId32" Type="http://schemas.openxmlformats.org/officeDocument/2006/relationships/hyperlink" Target="https://wisconsindpi.visualstudio.com/CRM/_workitems/edit/240529/" TargetMode="External"/><Relationship Id="rId37" Type="http://schemas.openxmlformats.org/officeDocument/2006/relationships/hyperlink" Target="https://wisconsindpi.visualstudio.com/CRM/_workitems/edit/240884/" TargetMode="External"/><Relationship Id="rId40" Type="http://schemas.openxmlformats.org/officeDocument/2006/relationships/comments" Target="../comments1.xml"/><Relationship Id="rId5" Type="http://schemas.openxmlformats.org/officeDocument/2006/relationships/hyperlink" Target="https://wisconsindpi.visualstudio.com/CRM/_workitems/edit/240307/" TargetMode="External"/><Relationship Id="rId15" Type="http://schemas.openxmlformats.org/officeDocument/2006/relationships/hyperlink" Target="https://nam04.safelinks.protection.outlook.com/?url=https%3A%2F%2Fwisconsindpi.visualstudio.com%2Fd03023ea-9e63-4e4e-aa64-656b0167ed08%2F_workitems%2Fedit%2F243074&amp;data=05%7C02%7CVindhya.Jajavarapu%40dpi.wi.gov%7Cfe959cee0cbd4dc1ad9d08de9b6c44db%7C1654d14032604903b5b718450051ce16%7C1%7C0%7C639119086507097918%7CUnknown%7CTWFpbGZsb3d8eyJFbXB0eU1hcGkiOnRydWUsIlYiOiIwLjAuMDAwMCIsIlAiOiJXaW4zMiIsIkFOIjoiTWFpbCIsIldUIjoyfQ%3D%3D%7C0%7C%7C%7C&amp;sdata=IUmFNQpuFdXuhqsG%2F8rAX57U%2FnoOTJ%2BAHL08V4UzPEQ%3D&amp;reserved=0" TargetMode="External"/><Relationship Id="rId23" Type="http://schemas.openxmlformats.org/officeDocument/2006/relationships/hyperlink" Target="https://nam04.safelinks.protection.outlook.com/?url=https%3A%2F%2Fwisconsindpi.visualstudio.com%2Fd03023ea-9e63-4e4e-aa64-656b0167ed08%2F_workitems%2Fedit%2F242836&amp;data=05%7C02%7CVindhya.Jajavarapu%40dpi.wi.gov%7Cfe959cee0cbd4dc1ad9d08de9b6c44db%7C1654d14032604903b5b718450051ce16%7C1%7C0%7C639119086507241693%7CUnknown%7CTWFpbGZsb3d8eyJFbXB0eU1hcGkiOnRydWUsIlYiOiIwLjAuMDAwMCIsIlAiOiJXaW4zMiIsIkFOIjoiTWFpbCIsIldUIjoyfQ%3D%3D%7C0%7C%7C%7C&amp;sdata=Ai1Zku%2Fsjb29b1ijDg019l%2FFAA%2FKDvS4dV%2B0cfJuInw%3D&amp;reserved=0" TargetMode="External"/><Relationship Id="rId28" Type="http://schemas.openxmlformats.org/officeDocument/2006/relationships/hyperlink" Target="https://wisconsindpi.visualstudio.com/CRM/_workitems/edit/241906/" TargetMode="External"/><Relationship Id="rId36" Type="http://schemas.openxmlformats.org/officeDocument/2006/relationships/hyperlink" Target="https://wisconsindpi.visualstudio.com/CRM/_workitems/edit/240529/" TargetMode="External"/><Relationship Id="rId10" Type="http://schemas.openxmlformats.org/officeDocument/2006/relationships/hyperlink" Target="https://nam04.safelinks.protection.outlook.com/?url=https%3A%2F%2Fwisconsindpi.visualstudio.com%2Fd03023ea-9e63-4e4e-aa64-656b0167ed08%2F_workitems%2Fedit%2F243086&amp;data=05%7C02%7CVindhya.Jajavarapu%40dpi.wi.gov%7Cfe959cee0cbd4dc1ad9d08de9b6c44db%7C1654d14032604903b5b718450051ce16%7C1%7C0%7C639119086506888808%7CUnknown%7CTWFpbGZsb3d8eyJFbXB0eU1hcGkiOnRydWUsIlYiOiIwLjAuMDAwMCIsIlAiOiJXaW4zMiIsIkFOIjoiTWFpbCIsIldUIjoyfQ%3D%3D%7C0%7C%7C%7C&amp;sdata=Rl4gdbQ33M0dG99TgQtTBY4wZ1tDMSanIP4QI%2F5sFpQ%3D&amp;reserved=0" TargetMode="External"/><Relationship Id="rId19" Type="http://schemas.openxmlformats.org/officeDocument/2006/relationships/hyperlink" Target="https://nam04.safelinks.protection.outlook.com/?url=https%3A%2F%2Fwisconsindpi.visualstudio.com%2Fd03023ea-9e63-4e4e-aa64-656b0167ed08%2F_workitems%2Fedit%2F242840&amp;data=05%7C02%7CVindhya.Jajavarapu%40dpi.wi.gov%7Cfe959cee0cbd4dc1ad9d08de9b6c44db%7C1654d14032604903b5b718450051ce16%7C1%7C0%7C639119086507255553%7CUnknown%7CTWFpbGZsb3d8eyJFbXB0eU1hcGkiOnRydWUsIlYiOiIwLjAuMDAwMCIsIlAiOiJXaW4zMiIsIkFOIjoiTWFpbCIsIldUIjoyfQ%3D%3D%7C0%7C%7C%7C&amp;sdata=KPZE6aCR7GZyBZOCECs8WXQXUye48nyGb%2BsvTtqSpZM%3D&amp;reserved=0" TargetMode="External"/><Relationship Id="rId31" Type="http://schemas.openxmlformats.org/officeDocument/2006/relationships/hyperlink" Target="https://wisconsindpi.visualstudio.com/CRM/_workitems/edit/240884/" TargetMode="External"/><Relationship Id="rId4" Type="http://schemas.openxmlformats.org/officeDocument/2006/relationships/hyperlink" Target="https://wisconsindpi.visualstudio.com/CRM/_workitems/edit/240259" TargetMode="External"/><Relationship Id="rId9" Type="http://schemas.openxmlformats.org/officeDocument/2006/relationships/hyperlink" Target="https://nam04.safelinks.protection.outlook.com/?url=https%3A%2F%2Fwisconsindpi.visualstudio.com%2Fd03023ea-9e63-4e4e-aa64-656b0167ed08%2F_workitems%2Fedit%2F243171&amp;data=05%7C02%7CVindhya.Jajavarapu%40dpi.wi.gov%7Cfe959cee0cbd4dc1ad9d08de9b6c44db%7C1654d14032604903b5b718450051ce16%7C1%7C0%7C639119086506674427%7CUnknown%7CTWFpbGZsb3d8eyJFbXB0eU1hcGkiOnRydWUsIlYiOiIwLjAuMDAwMCIsIlAiOiJXaW4zMiIsIkFOIjoiTWFpbCIsIldUIjoyfQ%3D%3D%7C0%7C%7C%7C&amp;sdata=OlEmORH4Zq%2BOM1SJ%2FIdSFiYn8a2RNp2Hi%2Bva1gNKHtc%3D&amp;reserved=0" TargetMode="External"/><Relationship Id="rId14" Type="http://schemas.openxmlformats.org/officeDocument/2006/relationships/hyperlink" Target="https://nam04.safelinks.protection.outlook.com/?url=https%3A%2F%2Fwisconsindpi.visualstudio.com%2Fd03023ea-9e63-4e4e-aa64-656b0167ed08%2F_workitems%2Fedit%2F242841&amp;data=05%7C02%7CVindhya.Jajavarapu%40dpi.wi.gov%7Cfe959cee0cbd4dc1ad9d08de9b6c44db%7C1654d14032604903b5b718450051ce16%7C1%7C0%7C639119086507057489%7CUnknown%7CTWFpbGZsb3d8eyJFbXB0eU1hcGkiOnRydWUsIlYiOiIwLjAuMDAwMCIsIlAiOiJXaW4zMiIsIkFOIjoiTWFpbCIsIldUIjoyfQ%3D%3D%7C0%7C%7C%7C&amp;sdata=gTt3CDq8g2a5fbr0L44SyEh1xe6QwwE%2F44hNKVrxEGk%3D&amp;reserved=0" TargetMode="External"/><Relationship Id="rId22" Type="http://schemas.openxmlformats.org/officeDocument/2006/relationships/hyperlink" Target="https://nam04.safelinks.protection.outlook.com/?url=https%3A%2F%2Fwisconsindpi.visualstudio.com%2Fd03023ea-9e63-4e4e-aa64-656b0167ed08%2F_workitems%2Fedit%2F243074&amp;data=05%7C02%7CVindhya.Jajavarapu%40dpi.wi.gov%7Cfe959cee0cbd4dc1ad9d08de9b6c44db%7C1654d14032604903b5b718450051ce16%7C1%7C0%7C639119086507097918%7CUnknown%7CTWFpbGZsb3d8eyJFbXB0eU1hcGkiOnRydWUsIlYiOiIwLjAuMDAwMCIsIlAiOiJXaW4zMiIsIkFOIjoiTWFpbCIsIldUIjoyfQ%3D%3D%7C0%7C%7C%7C&amp;sdata=IUmFNQpuFdXuhqsG%2F8rAX57U%2FnoOTJ%2BAHL08V4UzPEQ%3D&amp;reserved=0" TargetMode="External"/><Relationship Id="rId27" Type="http://schemas.openxmlformats.org/officeDocument/2006/relationships/hyperlink" Target="https://wisconsindpi.visualstudio.com/CRM/_workitems/edit/241736/" TargetMode="External"/><Relationship Id="rId30" Type="http://schemas.openxmlformats.org/officeDocument/2006/relationships/hyperlink" Target="https://wisconsindpi.visualstudio.com/CRM/_workitems/edit/241907/" TargetMode="External"/><Relationship Id="rId35" Type="http://schemas.openxmlformats.org/officeDocument/2006/relationships/hyperlink" Target="https://wisconsindpi.visualstudio.com/CRM/_workitems/edit/242231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am04.safelinks.protection.outlook.com/?url=https%3A%2F%2Fwisconsindpi.visualstudio.com%2Fd03023ea-9e63-4e4e-aa64-656b0167ed08%2F_workitems%2Fedit%2F242835&amp;data=05%7C02%7CVindhya.Jajavarapu%40dpi.wi.gov%7Cfe959cee0cbd4dc1ad9d08de9b6c44db%7C1654d14032604903b5b718450051ce16%7C1%7C0%7C639119086507011493%7CUnknown%7CTWFpbGZsb3d8eyJFbXB0eU1hcGkiOnRydWUsIlYiOiIwLjAuMDAwMCIsIlAiOiJXaW4zMiIsIkFOIjoiTWFpbCIsIldUIjoyfQ%3D%3D%7C0%7C%7C%7C&amp;sdata=rSS9xdOXzMSRykxgKBwUed1d79HdFJ2z7GGVg9ozjOQ%3D&amp;reserved=0" TargetMode="External"/><Relationship Id="rId13" Type="http://schemas.openxmlformats.org/officeDocument/2006/relationships/hyperlink" Target="https://nam04.safelinks.protection.outlook.com/?url=https%3A%2F%2Fwisconsindpi.visualstudio.com%2Fd03023ea-9e63-4e4e-aa64-656b0167ed08%2F_workitems%2Fedit%2F242836&amp;data=05%7C02%7CVindhya.Jajavarapu%40dpi.wi.gov%7Cfe959cee0cbd4dc1ad9d08de9b6c44db%7C1654d14032604903b5b718450051ce16%7C1%7C0%7C639119086507241693%7CUnknown%7CTWFpbGZsb3d8eyJFbXB0eU1hcGkiOnRydWUsIlYiOiIwLjAuMDAwMCIsIlAiOiJXaW4zMiIsIkFOIjoiTWFpbCIsIldUIjoyfQ%3D%3D%7C0%7C%7C%7C&amp;sdata=Ai1Zku%2Fsjb29b1ijDg019l%2FFAA%2FKDvS4dV%2B0cfJuInw%3D&amp;reserved=0" TargetMode="External"/><Relationship Id="rId18" Type="http://schemas.openxmlformats.org/officeDocument/2006/relationships/hyperlink" Target="https://wisconsindpi.visualstudio.com/CRM/_workitems/edit/241736/" TargetMode="External"/><Relationship Id="rId26" Type="http://schemas.openxmlformats.org/officeDocument/2006/relationships/hyperlink" Target="https://wisconsindpi.visualstudio.com/CRM/_sprints/backlog/CRM%20Team/CRM/Sprint%201157%20Apr16%20to%20Apr29?workitem=243499" TargetMode="External"/><Relationship Id="rId3" Type="http://schemas.openxmlformats.org/officeDocument/2006/relationships/hyperlink" Target="https://nam04.safelinks.protection.outlook.com/?url=https%3A%2F%2Fwisconsindpi.visualstudio.com%2Fd03023ea-9e63-4e4e-aa64-656b0167ed08%2F_workitems%2Fedit%2F243331&amp;data=05%7C02%7CVindhya.Jajavarapu%40dpi.wi.gov%7Cfe959cee0cbd4dc1ad9d08de9b6c44db%7C1654d14032604903b5b718450051ce16%7C1%7C0%7C639119086506636003%7CUnknown%7CTWFpbGZsb3d8eyJFbXB0eU1hcGkiOnRydWUsIlYiOiIwLjAuMDAwMCIsIlAiOiJXaW4zMiIsIkFOIjoiTWFpbCIsIldUIjoyfQ%3D%3D%7C0%7C%7C%7C&amp;sdata=QwAdXbsWCsOhxsQqyDeQAfuGD0tykEb%2F3L%2BNHY6L1pI%3D&amp;reserved=0" TargetMode="External"/><Relationship Id="rId21" Type="http://schemas.openxmlformats.org/officeDocument/2006/relationships/hyperlink" Target="https://wisconsindpi.visualstudio.com/CRM/_workitems/edit/242322/" TargetMode="External"/><Relationship Id="rId34" Type="http://schemas.openxmlformats.org/officeDocument/2006/relationships/drawing" Target="../drawings/drawing2.xml"/><Relationship Id="rId7" Type="http://schemas.openxmlformats.org/officeDocument/2006/relationships/hyperlink" Target="https://nam04.safelinks.protection.outlook.com/?url=https%3A%2F%2Fwisconsindpi.visualstudio.com%2Fd03023ea-9e63-4e4e-aa64-656b0167ed08%2F_workitems%2Fedit%2F242837&amp;data=05%7C02%7CVindhya.Jajavarapu%40dpi.wi.gov%7Cfe959cee0cbd4dc1ad9d08de9b6c44db%7C1654d14032604903b5b718450051ce16%7C1%7C0%7C639119086506968414%7CUnknown%7CTWFpbGZsb3d8eyJFbXB0eU1hcGkiOnRydWUsIlYiOiIwLjAuMDAwMCIsIlAiOiJXaW4zMiIsIkFOIjoiTWFpbCIsIldUIjoyfQ%3D%3D%7C0%7C%7C%7C&amp;sdata=4GfGdKJ06aRISF%2F5JaWNB7ibKnYNiUWPT%2BfGHcOripI%3D&amp;reserved=0" TargetMode="External"/><Relationship Id="rId12" Type="http://schemas.openxmlformats.org/officeDocument/2006/relationships/hyperlink" Target="https://nam04.safelinks.protection.outlook.com/?url=https%3A%2F%2Fwisconsindpi.visualstudio.com%2Fd03023ea-9e63-4e4e-aa64-656b0167ed08%2F_workitems%2Fedit%2F242846&amp;data=05%7C02%7CVindhya.Jajavarapu%40dpi.wi.gov%7Cfe959cee0cbd4dc1ad9d08de9b6c44db%7C1654d14032604903b5b718450051ce16%7C1%7C0%7C639119086507215531%7CUnknown%7CTWFpbGZsb3d8eyJFbXB0eU1hcGkiOnRydWUsIlYiOiIwLjAuMDAwMCIsIlAiOiJXaW4zMiIsIkFOIjoiTWFpbCIsIldUIjoyfQ%3D%3D%7C0%7C%7C%7C&amp;sdata=IiEntG9zDm36%2FCGO827OkYZIyWIt5wI%2FU7DPLCYgn7c%3D&amp;reserved=0" TargetMode="External"/><Relationship Id="rId17" Type="http://schemas.openxmlformats.org/officeDocument/2006/relationships/hyperlink" Target="https://wisconsindpi.visualstudio.com/CRM/_workitems/edit/241901/" TargetMode="External"/><Relationship Id="rId25" Type="http://schemas.openxmlformats.org/officeDocument/2006/relationships/hyperlink" Target="https://wisconsindpi.visualstudio.com/CRM/_sprints/backlog/CRM%20Team/CRM/Sprint%201157%20Apr16%20to%20Apr29?workitem=242836" TargetMode="External"/><Relationship Id="rId33" Type="http://schemas.openxmlformats.org/officeDocument/2006/relationships/hyperlink" Target="https://nam04.safelinks.protection.outlook.com/?url=https%3A%2F%2Fwisconsindpi.visualstudio.com%2Fd03023ea-9e63-4e4e-aa64-656b0167ed08%2F_workitems%2Fedit%2F243488&amp;data=05%7C02%7CVindhya.Jajavarapu%40dpi.wi.gov%7C7d15ae9706ce4cb0b2ed08deb4533a75%7C1654d14032604903b5b718450051ce16%7C1%7C0%7C639146466733336825%7CUnknown%7CTWFpbGZsb3d8eyJFbXB0eU1hcGkiOnRydWUsIlYiOiIwLjAuMDAwMCIsIlAiOiJXaW4zMiIsIkFOIjoiTWFpbCIsIldUIjoyfQ%3D%3D%7C0%7C%7C%7C&amp;sdata=MUcvDQaHvKKpYQAF6b61laxdbppG2KUoIXM6UV9Aoz4%3D&amp;reserved=0" TargetMode="External"/><Relationship Id="rId2" Type="http://schemas.openxmlformats.org/officeDocument/2006/relationships/hyperlink" Target="https://wisconsindpi.visualstudio.com/CRM/_workitems/edit/239398" TargetMode="External"/><Relationship Id="rId16" Type="http://schemas.openxmlformats.org/officeDocument/2006/relationships/hyperlink" Target="https://wisconsindpi.visualstudio.com/CRM/_workitems/edit/242245/" TargetMode="External"/><Relationship Id="rId20" Type="http://schemas.openxmlformats.org/officeDocument/2006/relationships/hyperlink" Target="https://wisconsindpi.visualstudio.com/CRM/_workitems/edit/240530/" TargetMode="External"/><Relationship Id="rId29" Type="http://schemas.openxmlformats.org/officeDocument/2006/relationships/hyperlink" Target="https://wisconsindpi.visualstudio.com/CRM/_sprints/backlog/CRM%20Team/CRM/Sprint%201157%20Apr16%20to%20Apr29?workitem=243498" TargetMode="External"/><Relationship Id="rId1" Type="http://schemas.openxmlformats.org/officeDocument/2006/relationships/hyperlink" Target="https://wisconsindpi.visualstudio.com/CRM/_workitems/edit/240259" TargetMode="External"/><Relationship Id="rId6" Type="http://schemas.openxmlformats.org/officeDocument/2006/relationships/hyperlink" Target="https://nam04.safelinks.protection.outlook.com/?url=https%3A%2F%2Fwisconsindpi.visualstudio.com%2Fd03023ea-9e63-4e4e-aa64-656b0167ed08%2F_workitems%2Fedit%2F242845&amp;data=05%7C02%7CVindhya.Jajavarapu%40dpi.wi.gov%7Cfe959cee0cbd4dc1ad9d08de9b6c44db%7C1654d14032604903b5b718450051ce16%7C1%7C0%7C639119086506928217%7CUnknown%7CTWFpbGZsb3d8eyJFbXB0eU1hcGkiOnRydWUsIlYiOiIwLjAuMDAwMCIsIlAiOiJXaW4zMiIsIkFOIjoiTWFpbCIsIldUIjoyfQ%3D%3D%7C0%7C%7C%7C&amp;sdata=T0wbgh2MozP06Z721I%2FTtXwF0lNOSTx%2BFzNxFmgFXbU%3D&amp;reserved=0" TargetMode="External"/><Relationship Id="rId11" Type="http://schemas.openxmlformats.org/officeDocument/2006/relationships/hyperlink" Target="https://nam04.safelinks.protection.outlook.com/?url=https%3A%2F%2Fwisconsindpi.visualstudio.com%2Fd03023ea-9e63-4e4e-aa64-656b0167ed08%2F_workitems%2Fedit%2F242844&amp;data=05%7C02%7CVindhya.Jajavarapu%40dpi.wi.gov%7Cfe959cee0cbd4dc1ad9d08de9b6c44db%7C1654d14032604903b5b718450051ce16%7C1%7C0%7C639119086507160002%7CUnknown%7CTWFpbGZsb3d8eyJFbXB0eU1hcGkiOnRydWUsIlYiOiIwLjAuMDAwMCIsIlAiOiJXaW4zMiIsIkFOIjoiTWFpbCIsIldUIjoyfQ%3D%3D%7C0%7C%7C%7C&amp;sdata=vMgYXbcSb2ea5rnbQEXxfAVs8rNLSgkH227ly5XY%2BZ0%3D&amp;reserved=0" TargetMode="External"/><Relationship Id="rId24" Type="http://schemas.openxmlformats.org/officeDocument/2006/relationships/hyperlink" Target="https://wisconsindpi.visualstudio.com/CRM/_workitems/edit/240884/" TargetMode="External"/><Relationship Id="rId32" Type="http://schemas.openxmlformats.org/officeDocument/2006/relationships/hyperlink" Target="https://nam04.safelinks.protection.outlook.com/?url=https%3A%2F%2Fwisconsindpi.visualstudio.com%2Fd03023ea-9e63-4e4e-aa64-656b0167ed08%2F_workitems%2Fedit%2F243851&amp;data=05%7C02%7CVindhya.Jajavarapu%40dpi.wi.gov%7C7d15ae9706ce4cb0b2ed08deb4533a75%7C1654d14032604903b5b718450051ce16%7C1%7C0%7C639146466733301912%7CUnknown%7CTWFpbGZsb3d8eyJFbXB0eU1hcGkiOnRydWUsIlYiOiIwLjAuMDAwMCIsIlAiOiJXaW4zMiIsIkFOIjoiTWFpbCIsIldUIjoyfQ%3D%3D%7C0%7C%7C%7C&amp;sdata=eeI0ZkJaCWWxxekgg12TbMqXeChzz8vk5zY453hFMJE%3D&amp;reserved=0" TargetMode="External"/><Relationship Id="rId5" Type="http://schemas.openxmlformats.org/officeDocument/2006/relationships/hyperlink" Target="https://nam04.safelinks.protection.outlook.com/?url=https%3A%2F%2Fwisconsindpi.visualstudio.com%2Fd03023ea-9e63-4e4e-aa64-656b0167ed08%2F_workitems%2Fedit%2F243086&amp;data=05%7C02%7CVindhya.Jajavarapu%40dpi.wi.gov%7Cfe959cee0cbd4dc1ad9d08de9b6c44db%7C1654d14032604903b5b718450051ce16%7C1%7C0%7C639119086506888808%7CUnknown%7CTWFpbGZsb3d8eyJFbXB0eU1hcGkiOnRydWUsIlYiOiIwLjAuMDAwMCIsIlAiOiJXaW4zMiIsIkFOIjoiTWFpbCIsIldUIjoyfQ%3D%3D%7C0%7C%7C%7C&amp;sdata=Rl4gdbQ33M0dG99TgQtTBY4wZ1tDMSanIP4QI%2F5sFpQ%3D&amp;reserved=0" TargetMode="External"/><Relationship Id="rId15" Type="http://schemas.openxmlformats.org/officeDocument/2006/relationships/hyperlink" Target="https://wisconsindpi.visualstudio.com/CRM/_workitems/edit/242446/" TargetMode="External"/><Relationship Id="rId23" Type="http://schemas.openxmlformats.org/officeDocument/2006/relationships/hyperlink" Target="https://wisconsindpi.visualstudio.com/CRM/_workitems/edit/240529/" TargetMode="External"/><Relationship Id="rId28" Type="http://schemas.openxmlformats.org/officeDocument/2006/relationships/hyperlink" Target="https://wisconsindpi.visualstudio.com/CRM/_sprints/backlog/CRM%20Team/CRM/Sprint%201157%20Apr16%20to%20Apr29?workitem=243489" TargetMode="External"/><Relationship Id="rId36" Type="http://schemas.openxmlformats.org/officeDocument/2006/relationships/comments" Target="../comments2.xml"/><Relationship Id="rId10" Type="http://schemas.openxmlformats.org/officeDocument/2006/relationships/hyperlink" Target="https://nam04.safelinks.protection.outlook.com/?url=https%3A%2F%2Fwisconsindpi.visualstudio.com%2Fd03023ea-9e63-4e4e-aa64-656b0167ed08%2F_workitems%2Fedit%2F243074&amp;data=05%7C02%7CVindhya.Jajavarapu%40dpi.wi.gov%7Cfe959cee0cbd4dc1ad9d08de9b6c44db%7C1654d14032604903b5b718450051ce16%7C1%7C0%7C639119086507097918%7CUnknown%7CTWFpbGZsb3d8eyJFbXB0eU1hcGkiOnRydWUsIlYiOiIwLjAuMDAwMCIsIlAiOiJXaW4zMiIsIkFOIjoiTWFpbCIsIldUIjoyfQ%3D%3D%7C0%7C%7C%7C&amp;sdata=IUmFNQpuFdXuhqsG%2F8rAX57U%2FnoOTJ%2BAHL08V4UzPEQ%3D&amp;reserved=0" TargetMode="External"/><Relationship Id="rId19" Type="http://schemas.openxmlformats.org/officeDocument/2006/relationships/hyperlink" Target="https://wisconsindpi.visualstudio.com/CRM/_workitems/edit/240529/" TargetMode="External"/><Relationship Id="rId31" Type="http://schemas.openxmlformats.org/officeDocument/2006/relationships/hyperlink" Target="https://nam04.safelinks.protection.outlook.com/?url=https%3A%2F%2Fwisconsindpi.visualstudio.com%2Fd03023ea-9e63-4e4e-aa64-656b0167ed08%2F_workitems%2Fedit%2F243876&amp;data=05%7C02%7CVindhya.Jajavarapu%40dpi.wi.gov%7C7d15ae9706ce4cb0b2ed08deb4533a75%7C1654d14032604903b5b718450051ce16%7C1%7C0%7C639146466733266448%7CUnknown%7CTWFpbGZsb3d8eyJFbXB0eU1hcGkiOnRydWUsIlYiOiIwLjAuMDAwMCIsIlAiOiJXaW4zMiIsIkFOIjoiTWFpbCIsIldUIjoyfQ%3D%3D%7C0%7C%7C%7C&amp;sdata=%2B1CnPPccawuBJ1n9e%2F7kDmIH2Dr8qAl90w8s3scNQyw%3D&amp;reserved=0" TargetMode="External"/><Relationship Id="rId4" Type="http://schemas.openxmlformats.org/officeDocument/2006/relationships/hyperlink" Target="https://nam04.safelinks.protection.outlook.com/?url=https%3A%2F%2Fwisconsindpi.visualstudio.com%2Fd03023ea-9e63-4e4e-aa64-656b0167ed08%2F_workitems%2Fedit%2F243171&amp;data=05%7C02%7CVindhya.Jajavarapu%40dpi.wi.gov%7Cfe959cee0cbd4dc1ad9d08de9b6c44db%7C1654d14032604903b5b718450051ce16%7C1%7C0%7C639119086506674427%7CUnknown%7CTWFpbGZsb3d8eyJFbXB0eU1hcGkiOnRydWUsIlYiOiIwLjAuMDAwMCIsIlAiOiJXaW4zMiIsIkFOIjoiTWFpbCIsIldUIjoyfQ%3D%3D%7C0%7C%7C%7C&amp;sdata=OlEmORH4Zq%2BOM1SJ%2FIdSFiYn8a2RNp2Hi%2Bva1gNKHtc%3D&amp;reserved=0" TargetMode="External"/><Relationship Id="rId9" Type="http://schemas.openxmlformats.org/officeDocument/2006/relationships/hyperlink" Target="https://nam04.safelinks.protection.outlook.com/?url=https%3A%2F%2Fwisconsindpi.visualstudio.com%2Fd03023ea-9e63-4e4e-aa64-656b0167ed08%2F_workitems%2Fedit%2F242841&amp;data=05%7C02%7CVindhya.Jajavarapu%40dpi.wi.gov%7Cfe959cee0cbd4dc1ad9d08de9b6c44db%7C1654d14032604903b5b718450051ce16%7C1%7C0%7C639119086507057489%7CUnknown%7CTWFpbGZsb3d8eyJFbXB0eU1hcGkiOnRydWUsIlYiOiIwLjAuMDAwMCIsIlAiOiJXaW4zMiIsIkFOIjoiTWFpbCIsIldUIjoyfQ%3D%3D%7C0%7C%7C%7C&amp;sdata=gTt3CDq8g2a5fbr0L44SyEh1xe6QwwE%2F44hNKVrxEGk%3D&amp;reserved=0" TargetMode="External"/><Relationship Id="rId14" Type="http://schemas.openxmlformats.org/officeDocument/2006/relationships/hyperlink" Target="https://nam04.safelinks.protection.outlook.com/?url=https%3A%2F%2Fwisconsindpi.visualstudio.com%2Fd03023ea-9e63-4e4e-aa64-656b0167ed08%2F_workitems%2Fedit%2F242840&amp;data=05%7C02%7CVindhya.Jajavarapu%40dpi.wi.gov%7Cfe959cee0cbd4dc1ad9d08de9b6c44db%7C1654d14032604903b5b718450051ce16%7C1%7C0%7C639119086507255553%7CUnknown%7CTWFpbGZsb3d8eyJFbXB0eU1hcGkiOnRydWUsIlYiOiIwLjAuMDAwMCIsIlAiOiJXaW4zMiIsIkFOIjoiTWFpbCIsIldUIjoyfQ%3D%3D%7C0%7C%7C%7C&amp;sdata=KPZE6aCR7GZyBZOCECs8WXQXUye48nyGb%2BsvTtqSpZM%3D&amp;reserved=0" TargetMode="External"/><Relationship Id="rId22" Type="http://schemas.openxmlformats.org/officeDocument/2006/relationships/hyperlink" Target="https://wisconsindpi.visualstudio.com/CRM/_workitems/edit/242231/" TargetMode="External"/><Relationship Id="rId27" Type="http://schemas.openxmlformats.org/officeDocument/2006/relationships/hyperlink" Target="https://wisconsindpi.visualstudio.com/CRM/_sprints/backlog/CRM%20Team/CRM/Sprint%201157%20Apr16%20to%20Apr29?workitem=243493" TargetMode="External"/><Relationship Id="rId30" Type="http://schemas.openxmlformats.org/officeDocument/2006/relationships/hyperlink" Target="https://nam04.safelinks.protection.outlook.com/?url=https%3A%2F%2Fwisconsindpi.visualstudio.com%2Fd03023ea-9e63-4e4e-aa64-656b0167ed08%2F_workitems%2Fedit%2F243948&amp;data=05%7C02%7CVindhya.Jajavarapu%40dpi.wi.gov%7C7d15ae9706ce4cb0b2ed08deb4533a75%7C1654d14032604903b5b718450051ce16%7C1%7C0%7C639146466733217239%7CUnknown%7CTWFpbGZsb3d8eyJFbXB0eU1hcGkiOnRydWUsIlYiOiIwLjAuMDAwMCIsIlAiOiJXaW4zMiIsIkFOIjoiTWFpbCIsIldUIjoyfQ%3D%3D%7C0%7C%7C%7C&amp;sdata=HcYrGUKxPI5fKaO7WQNJzYgtIWDgju0iP3e4KyzXZpI%3D&amp;reserved=0" TargetMode="External"/><Relationship Id="rId35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isconsindpi.visualstudio.com/CRM/_workitems/edit/241736/" TargetMode="External"/><Relationship Id="rId3" Type="http://schemas.openxmlformats.org/officeDocument/2006/relationships/hyperlink" Target="https://wisconsindpi.visualstudio.com/CRM/_workitems/edit/242245/" TargetMode="External"/><Relationship Id="rId7" Type="http://schemas.openxmlformats.org/officeDocument/2006/relationships/hyperlink" Target="https://wisconsindpi.visualstudio.com/CRM/_workitems/edit/242446/" TargetMode="External"/><Relationship Id="rId2" Type="http://schemas.openxmlformats.org/officeDocument/2006/relationships/hyperlink" Target="https://wisconsindpi.visualstudio.com/CRM/_workitems/edit/240259" TargetMode="External"/><Relationship Id="rId1" Type="http://schemas.openxmlformats.org/officeDocument/2006/relationships/hyperlink" Target="https://wisconsindpi.visualstudio.com/CRM/_workitems/edit/240260" TargetMode="External"/><Relationship Id="rId6" Type="http://schemas.openxmlformats.org/officeDocument/2006/relationships/hyperlink" Target="https://wisconsindpi.visualstudio.com/CRM/_workitems/edit/239398" TargetMode="External"/><Relationship Id="rId11" Type="http://schemas.openxmlformats.org/officeDocument/2006/relationships/hyperlink" Target="https://wisconsindpi.visualstudio.com/CRM/_workitems/edit/240884/" TargetMode="External"/><Relationship Id="rId5" Type="http://schemas.openxmlformats.org/officeDocument/2006/relationships/hyperlink" Target="https://wisconsindpi.visualstudio.com/CRM/_workitems/edit/240307/" TargetMode="External"/><Relationship Id="rId10" Type="http://schemas.openxmlformats.org/officeDocument/2006/relationships/hyperlink" Target="https://wisconsindpi.visualstudio.com/CRM/_workitems/edit/242231/" TargetMode="External"/><Relationship Id="rId4" Type="http://schemas.openxmlformats.org/officeDocument/2006/relationships/hyperlink" Target="https://wisconsindpi.visualstudio.com/CRM/_workitems/edit/241901/" TargetMode="External"/><Relationship Id="rId9" Type="http://schemas.openxmlformats.org/officeDocument/2006/relationships/hyperlink" Target="https://wisconsindpi.visualstudio.com/CRM/_workitems/edit/242322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nam04.safelinks.protection.outlook.com/?url=https%3A%2F%2Fwisconsindpi.visualstudio.com%2Fd03023ea-9e63-4e4e-aa64-656b0167ed08%2F_workitems%2Fedit%2F243494&amp;data=05%7C02%7CVindhya.Jajavarapu%40dpi.wi.gov%7C0db34ba6646a4e9a08da08deb45b8e9e%7C1654d14032604903b5b718450051ce16%7C1%7C0%7C639146502515210056%7CUnknown%7CTWFpbGZsb3d8eyJFbXB0eU1hcGkiOnRydWUsIlYiOiIwLjAuMDAwMCIsIlAiOiJXaW4zMiIsIkFOIjoiTWFpbCIsIldUIjoyfQ%3D%3D%7C0%7C%7C%7C&amp;sdata=EAlxw2LHQIc2NyOni1M9Yts4I%2FLqbj9slPAW3Yqlsmk%3D&amp;reserved=0" TargetMode="External"/><Relationship Id="rId3" Type="http://schemas.openxmlformats.org/officeDocument/2006/relationships/hyperlink" Target="https://nam04.safelinks.protection.outlook.com/?url=https%3A%2F%2Fwisconsindpi.visualstudio.com%2Fd03023ea-9e63-4e4e-aa64-656b0167ed08%2F_workitems%2Fedit%2F244161&amp;data=05%7C02%7CVindhya.Jajavarapu%40dpi.wi.gov%7C0db34ba6646a4e9a08da08deb45b8e9e%7C1654d14032604903b5b718450051ce16%7C1%7C0%7C639146502515068902%7CUnknown%7CTWFpbGZsb3d8eyJFbXB0eU1hcGkiOnRydWUsIlYiOiIwLjAuMDAwMCIsIlAiOiJXaW4zMiIsIkFOIjoiTWFpbCIsIldUIjoyfQ%3D%3D%7C0%7C%7C%7C&amp;sdata=aMYF1zrMOHqSgzyS5pZrgXlm%2FXRd21OdpE9dptOXYtY%3D&amp;reserved=0" TargetMode="External"/><Relationship Id="rId7" Type="http://schemas.openxmlformats.org/officeDocument/2006/relationships/hyperlink" Target="https://nam04.safelinks.protection.outlook.com/?url=https%3A%2F%2Fwisconsindpi.visualstudio.com%2Fd03023ea-9e63-4e4e-aa64-656b0167ed08%2F_workitems%2Fedit%2F243495&amp;data=05%7C02%7CVindhya.Jajavarapu%40dpi.wi.gov%7C0db34ba6646a4e9a08da08deb45b8e9e%7C1654d14032604903b5b718450051ce16%7C1%7C0%7C639146502515197808%7CUnknown%7CTWFpbGZsb3d8eyJFbXB0eU1hcGkiOnRydWUsIlYiOiIwLjAuMDAwMCIsIlAiOiJXaW4zMiIsIkFOIjoiTWFpbCIsIldUIjoyfQ%3D%3D%7C0%7C%7C%7C&amp;sdata=pTrAZYdhyDvalFrBxtflPnxFOmS%2FFIKu%2BH%2BUZ9lPylo%3D&amp;reserved=0" TargetMode="External"/><Relationship Id="rId2" Type="http://schemas.openxmlformats.org/officeDocument/2006/relationships/hyperlink" Target="https://nam04.safelinks.protection.outlook.com/?url=https%3A%2F%2Fwisconsindpi.visualstudio.com%2Fd03023ea-9e63-4e4e-aa64-656b0167ed08%2F_workitems%2Fedit%2F244429&amp;data=05%7C02%7CVindhya.Jajavarapu%40dpi.wi.gov%7C0db34ba6646a4e9a08da08deb45b8e9e%7C1654d14032604903b5b718450051ce16%7C1%7C0%7C639146502514936440%7CUnknown%7CTWFpbGZsb3d8eyJFbXB0eU1hcGkiOnRydWUsIlYiOiIwLjAuMDAwMCIsIlAiOiJXaW4zMiIsIkFOIjoiTWFpbCIsIldUIjoyfQ%3D%3D%7C0%7C%7C%7C&amp;sdata=3OxHC5%2Bb6eJ%2FnXNwWSqWOTQf38cApef762uhgZtjHWg%3D&amp;reserved=0" TargetMode="External"/><Relationship Id="rId1" Type="http://schemas.openxmlformats.org/officeDocument/2006/relationships/hyperlink" Target="https://nam04.safelinks.protection.outlook.com/?url=https%3A%2F%2Fwisconsindpi.visualstudio.com%2Fd03023ea-9e63-4e4e-aa64-656b0167ed08%2F_workitems%2Fedit%2F244685&amp;data=05%7C02%7CVindhya.Jajavarapu%40dpi.wi.gov%7C0db34ba6646a4e9a08da08deb45b8e9e%7C1654d14032604903b5b718450051ce16%7C1%7C0%7C639146502514783514%7CUnknown%7CTWFpbGZsb3d8eyJFbXB0eU1hcGkiOnRydWUsIlYiOiIwLjAuMDAwMCIsIlAiOiJXaW4zMiIsIkFOIjoiTWFpbCIsIldUIjoyfQ%3D%3D%7C0%7C%7C%7C&amp;sdata=2BFd8miBe2oBsBNsApcenskcmot8gUqkvmDMdeLA4vU%3D&amp;reserved=0" TargetMode="External"/><Relationship Id="rId6" Type="http://schemas.openxmlformats.org/officeDocument/2006/relationships/hyperlink" Target="https://nam04.safelinks.protection.outlook.com/?url=https%3A%2F%2Fwisconsindpi.visualstudio.com%2Fd03023ea-9e63-4e4e-aa64-656b0167ed08%2F_workitems%2Fedit%2F243485&amp;data=05%7C02%7CVindhya.Jajavarapu%40dpi.wi.gov%7C0db34ba6646a4e9a08da08deb45b8e9e%7C1654d14032604903b5b718450051ce16%7C1%7C0%7C639146502515185585%7CUnknown%7CTWFpbGZsb3d8eyJFbXB0eU1hcGkiOnRydWUsIlYiOiIwLjAuMDAwMCIsIlAiOiJXaW4zMiIsIkFOIjoiTWFpbCIsIldUIjoyfQ%3D%3D%7C0%7C%7C%7C&amp;sdata=gpnVJRe1%2FSklmqyvnZ03FkRfA9dS8JYDroRZROkxkHY%3D&amp;reserved=0" TargetMode="External"/><Relationship Id="rId11" Type="http://schemas.openxmlformats.org/officeDocument/2006/relationships/hyperlink" Target="https://nam04.safelinks.protection.outlook.com/?url=https%3A%2F%2Fwisconsindpi.visualstudio.com%2Fd03023ea-9e63-4e4e-aa64-656b0167ed08%2F_workitems%2Fedit%2F244461&amp;data=05%7C02%7CVindhya.Jajavarapu%40dpi.wi.gov%7C0db34ba6646a4e9a08da08deb45b8e9e%7C1654d14032604903b5b718450051ce16%7C1%7C0%7C639146502515333241%7CUnknown%7CTWFpbGZsb3d8eyJFbXB0eU1hcGkiOnRydWUsIlYiOiIwLjAuMDAwMCIsIlAiOiJXaW4zMiIsIkFOIjoiTWFpbCIsIldUIjoyfQ%3D%3D%7C0%7C%7C%7C&amp;sdata=ctAa4WCUKsWCqNWFbGX1mVJNbOt2jv%2FVvOPujcjnToA%3D&amp;reserved=0" TargetMode="External"/><Relationship Id="rId5" Type="http://schemas.openxmlformats.org/officeDocument/2006/relationships/hyperlink" Target="https://nam04.safelinks.protection.outlook.com/?url=https%3A%2F%2Fwisconsindpi.visualstudio.com%2Fd03023ea-9e63-4e4e-aa64-656b0167ed08%2F_workitems%2Fedit%2F244158&amp;data=05%7C02%7CVindhya.Jajavarapu%40dpi.wi.gov%7C0db34ba6646a4e9a08da08deb45b8e9e%7C1654d14032604903b5b718450051ce16%7C1%7C0%7C639146502515148083%7CUnknown%7CTWFpbGZsb3d8eyJFbXB0eU1hcGkiOnRydWUsIlYiOiIwLjAuMDAwMCIsIlAiOiJXaW4zMiIsIkFOIjoiTWFpbCIsIldUIjoyfQ%3D%3D%7C0%7C%7C%7C&amp;sdata=zNbEcTTWJe0A3zkJd6yeSddCK9miQ3Dpg%2BbrCpGgAtk%3D&amp;reserved=0" TargetMode="External"/><Relationship Id="rId10" Type="http://schemas.openxmlformats.org/officeDocument/2006/relationships/hyperlink" Target="https://nam04.safelinks.protection.outlook.com/?url=https%3A%2F%2Fwisconsindpi.visualstudio.com%2Fd03023ea-9e63-4e4e-aa64-656b0167ed08%2F_workitems%2Fedit%2F244918&amp;data=05%7C02%7CVindhya.Jajavarapu%40dpi.wi.gov%7C0db34ba6646a4e9a08da08deb45b8e9e%7C1654d14032604903b5b718450051ce16%7C1%7C0%7C639146502515261877%7CUnknown%7CTWFpbGZsb3d8eyJFbXB0eU1hcGkiOnRydWUsIlYiOiIwLjAuMDAwMCIsIlAiOiJXaW4zMiIsIkFOIjoiTWFpbCIsIldUIjoyfQ%3D%3D%7C0%7C%7C%7C&amp;sdata=dECLKsFiIbhaY0KHutQzUICwWKFkshMsGX70EazqZoc%3D&amp;reserved=0" TargetMode="External"/><Relationship Id="rId4" Type="http://schemas.openxmlformats.org/officeDocument/2006/relationships/hyperlink" Target="https://nam04.safelinks.protection.outlook.com/?url=https%3A%2F%2Fwisconsindpi.visualstudio.com%2Fd03023ea-9e63-4e4e-aa64-656b0167ed08%2F_workitems%2Fedit%2F244159&amp;data=05%7C02%7CVindhya.Jajavarapu%40dpi.wi.gov%7C0db34ba6646a4e9a08da08deb45b8e9e%7C1654d14032604903b5b718450051ce16%7C1%7C0%7C639146502515111100%7CUnknown%7CTWFpbGZsb3d8eyJFbXB0eU1hcGkiOnRydWUsIlYiOiIwLjAuMDAwMCIsIlAiOiJXaW4zMiIsIkFOIjoiTWFpbCIsIldUIjoyfQ%3D%3D%7C0%7C%7C%7C&amp;sdata=eiRgj2cX9u5WyusJfM%2BbIq5%2FQsuO%2FMnCVIMgMUhdMMA%3D&amp;reserved=0" TargetMode="External"/><Relationship Id="rId9" Type="http://schemas.openxmlformats.org/officeDocument/2006/relationships/hyperlink" Target="https://nam04.safelinks.protection.outlook.com/?url=https%3A%2F%2Fwisconsindpi.visualstudio.com%2Fd03023ea-9e63-4e4e-aa64-656b0167ed08%2F_workitems%2Fedit%2F244091&amp;data=05%7C02%7CVindhya.Jajavarapu%40dpi.wi.gov%7C0db34ba6646a4e9a08da08deb45b8e9e%7C1654d14032604903b5b718450051ce16%7C1%7C0%7C639146502515223809%7CUnknown%7CTWFpbGZsb3d8eyJFbXB0eU1hcGkiOnRydWUsIlYiOiIwLjAuMDAwMCIsIlAiOiJXaW4zMiIsIkFOIjoiTWFpbCIsIldUIjoyfQ%3D%3D%7C0%7C%7C%7C&amp;sdata=%2BWwBJl6vnOHEuRuwwsUh2diBgxl%2BPIuInOvKN0p3X%2Bw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43"/>
  <sheetViews>
    <sheetView zoomScale="120" zoomScaleNormal="120" workbookViewId="0">
      <pane xSplit="3" ySplit="18" topLeftCell="D46" activePane="bottomRight" state="frozen"/>
      <selection pane="topRight" activeCell="C1" sqref="C1"/>
      <selection pane="bottomLeft" activeCell="A20" sqref="A20"/>
      <selection pane="bottomRight" activeCell="E39" sqref="E39:J39"/>
    </sheetView>
  </sheetViews>
  <sheetFormatPr defaultColWidth="8.7265625" defaultRowHeight="14.5"/>
  <cols>
    <col min="1" max="1" width="8.7265625" style="10"/>
    <col min="2" max="2" width="12.1796875" style="1" customWidth="1"/>
    <col min="3" max="3" width="29" style="1" customWidth="1"/>
    <col min="4" max="4" width="4.1796875" style="1" customWidth="1"/>
    <col min="5" max="5" width="25.54296875" style="1" customWidth="1"/>
    <col min="6" max="6" width="23.453125" style="1" customWidth="1"/>
    <col min="7" max="7" width="22.7265625" style="1" customWidth="1"/>
    <col min="8" max="8" width="19.54296875" style="1" customWidth="1"/>
    <col min="9" max="9" width="16.81640625" style="1" customWidth="1"/>
    <col min="10" max="10" width="68.54296875" style="1" customWidth="1"/>
    <col min="11" max="16384" width="8.7265625" style="1"/>
  </cols>
  <sheetData>
    <row r="1" spans="1:15">
      <c r="E1" s="2"/>
      <c r="F1" s="2"/>
      <c r="G1" s="2"/>
      <c r="H1" s="2"/>
      <c r="I1" s="2"/>
      <c r="J1" s="2"/>
    </row>
    <row r="2" spans="1:15" ht="15" thickBot="1">
      <c r="E2" s="11"/>
      <c r="F2" s="12"/>
      <c r="G2" s="12"/>
      <c r="H2" s="12"/>
      <c r="I2" s="12"/>
      <c r="J2" s="13"/>
    </row>
    <row r="3" spans="1:15" ht="31" customHeight="1" thickBot="1">
      <c r="A3" s="27"/>
      <c r="B3" s="26"/>
      <c r="C3" s="26"/>
      <c r="E3" s="259" t="s">
        <v>241</v>
      </c>
      <c r="F3" s="260"/>
      <c r="G3" s="260"/>
      <c r="H3" s="260"/>
      <c r="I3" s="260"/>
      <c r="J3" s="261"/>
    </row>
    <row r="4" spans="1:15" ht="21.5" thickBot="1">
      <c r="A4" s="262" t="s">
        <v>0</v>
      </c>
      <c r="B4" s="263"/>
      <c r="C4" s="264"/>
      <c r="E4" s="222" t="s">
        <v>248</v>
      </c>
      <c r="F4" s="223"/>
      <c r="G4" s="223"/>
      <c r="H4" s="223"/>
      <c r="I4" s="223"/>
      <c r="J4" s="224"/>
    </row>
    <row r="5" spans="1:15" ht="16" thickBot="1">
      <c r="A5" s="33" t="s">
        <v>1</v>
      </c>
      <c r="B5" s="34" t="s">
        <v>2</v>
      </c>
      <c r="C5" s="34" t="s">
        <v>3</v>
      </c>
      <c r="D5" s="14"/>
      <c r="E5" s="3" t="s">
        <v>4</v>
      </c>
      <c r="F5" s="265" t="s">
        <v>242</v>
      </c>
      <c r="G5" s="249"/>
      <c r="H5" s="249"/>
      <c r="I5" s="249"/>
      <c r="J5" s="250"/>
    </row>
    <row r="6" spans="1:15" ht="15" thickBot="1">
      <c r="A6" s="28" t="s">
        <v>5</v>
      </c>
      <c r="B6" s="17" t="s">
        <v>6</v>
      </c>
      <c r="C6" s="18" t="s">
        <v>7</v>
      </c>
      <c r="D6" s="15"/>
      <c r="E6" s="3" t="s">
        <v>8</v>
      </c>
      <c r="F6" s="266">
        <v>202511042</v>
      </c>
      <c r="G6" s="252"/>
      <c r="H6" s="252"/>
      <c r="I6" s="252"/>
      <c r="J6" s="253"/>
    </row>
    <row r="7" spans="1:15" ht="15" thickBot="1">
      <c r="A7" s="28" t="s">
        <v>5</v>
      </c>
      <c r="B7" s="17" t="s">
        <v>6</v>
      </c>
      <c r="C7" s="19" t="s">
        <v>9</v>
      </c>
      <c r="D7" s="14"/>
      <c r="E7" s="3" t="s">
        <v>10</v>
      </c>
      <c r="F7" s="255" t="s">
        <v>243</v>
      </c>
      <c r="G7" s="249"/>
      <c r="H7" s="249"/>
      <c r="I7" s="249"/>
      <c r="J7" s="250"/>
    </row>
    <row r="8" spans="1:15" ht="15" thickBot="1">
      <c r="A8" s="28" t="s">
        <v>11</v>
      </c>
      <c r="B8" s="17" t="s">
        <v>6</v>
      </c>
      <c r="C8" s="19" t="s">
        <v>12</v>
      </c>
      <c r="D8" s="14"/>
      <c r="E8" s="3" t="s">
        <v>13</v>
      </c>
      <c r="F8" s="248" t="s">
        <v>144</v>
      </c>
      <c r="G8" s="249"/>
      <c r="H8" s="249"/>
      <c r="I8" s="249"/>
      <c r="J8" s="250"/>
    </row>
    <row r="9" spans="1:15" ht="17" thickBot="1">
      <c r="A9" s="28" t="s">
        <v>5</v>
      </c>
      <c r="B9" s="17" t="s">
        <v>14</v>
      </c>
      <c r="C9" s="19" t="s">
        <v>15</v>
      </c>
      <c r="D9" s="14"/>
      <c r="E9" s="3" t="s">
        <v>16</v>
      </c>
      <c r="F9" s="251" t="s">
        <v>244</v>
      </c>
      <c r="G9" s="252"/>
      <c r="H9" s="252"/>
      <c r="I9" s="252"/>
      <c r="J9" s="253"/>
      <c r="O9" s="24"/>
    </row>
    <row r="10" spans="1:15" ht="15" thickBot="1">
      <c r="A10" s="28" t="s">
        <v>5</v>
      </c>
      <c r="B10" s="17" t="s">
        <v>14</v>
      </c>
      <c r="C10" s="19" t="s">
        <v>17</v>
      </c>
      <c r="D10" s="14"/>
      <c r="E10" s="3" t="s">
        <v>18</v>
      </c>
      <c r="F10" s="254" t="s">
        <v>247</v>
      </c>
      <c r="G10" s="252"/>
      <c r="H10" s="252"/>
      <c r="I10" s="252"/>
      <c r="J10" s="253"/>
    </row>
    <row r="11" spans="1:15" ht="15" thickBot="1">
      <c r="A11" s="28" t="s">
        <v>5</v>
      </c>
      <c r="B11" s="3" t="s">
        <v>14</v>
      </c>
      <c r="C11" s="20" t="s">
        <v>19</v>
      </c>
      <c r="E11" s="3" t="s">
        <v>20</v>
      </c>
      <c r="F11" s="255" t="s">
        <v>246</v>
      </c>
      <c r="G11" s="249"/>
      <c r="H11" s="249"/>
      <c r="I11" s="249"/>
      <c r="J11" s="250"/>
    </row>
    <row r="12" spans="1:15" ht="16" thickBot="1">
      <c r="A12" s="256" t="s">
        <v>21</v>
      </c>
      <c r="B12" s="257"/>
      <c r="C12" s="258"/>
      <c r="D12" s="14"/>
      <c r="E12" s="3" t="s">
        <v>22</v>
      </c>
      <c r="F12" s="255" t="s">
        <v>245</v>
      </c>
      <c r="G12" s="249"/>
      <c r="H12" s="249"/>
      <c r="I12" s="249"/>
      <c r="J12" s="250"/>
    </row>
    <row r="13" spans="1:15" ht="15.75" customHeight="1" thickBot="1">
      <c r="A13" s="231" t="s">
        <v>23</v>
      </c>
      <c r="B13" s="232"/>
      <c r="C13" s="233"/>
      <c r="D13" s="14"/>
      <c r="E13" s="3" t="s">
        <v>24</v>
      </c>
      <c r="F13" s="234" t="s">
        <v>25</v>
      </c>
      <c r="G13" s="235"/>
      <c r="H13" s="235"/>
      <c r="I13" s="235"/>
      <c r="J13" s="236"/>
    </row>
    <row r="14" spans="1:15" ht="15.75" customHeight="1" thickBot="1">
      <c r="A14" s="237" t="str">
        <f>VLOOKUP(A13,H2020:I2027,2,FALSE)</f>
        <v>Status help screen</v>
      </c>
      <c r="B14" s="238"/>
      <c r="C14" s="239"/>
      <c r="D14" s="14"/>
      <c r="E14" s="222" t="s">
        <v>26</v>
      </c>
      <c r="F14" s="223"/>
      <c r="G14" s="223"/>
      <c r="H14" s="223"/>
      <c r="I14" s="223"/>
      <c r="J14" s="224"/>
    </row>
    <row r="15" spans="1:15" ht="15" thickBot="1">
      <c r="A15" s="240"/>
      <c r="B15" s="241"/>
      <c r="C15" s="242"/>
      <c r="D15" s="14"/>
      <c r="E15" s="3"/>
      <c r="F15" s="4" t="s">
        <v>27</v>
      </c>
      <c r="G15" s="4" t="s">
        <v>28</v>
      </c>
      <c r="H15" s="4" t="s">
        <v>29</v>
      </c>
      <c r="I15" s="4" t="s">
        <v>30</v>
      </c>
      <c r="J15" s="4" t="s">
        <v>2</v>
      </c>
      <c r="K15" s="14"/>
    </row>
    <row r="16" spans="1:15" ht="15" thickBot="1">
      <c r="A16" s="240"/>
      <c r="B16" s="241"/>
      <c r="C16" s="242"/>
      <c r="D16" s="14"/>
      <c r="E16" s="3" t="s">
        <v>31</v>
      </c>
      <c r="F16" s="3" t="s">
        <v>150</v>
      </c>
      <c r="G16" s="3" t="s">
        <v>32</v>
      </c>
      <c r="H16" s="3" t="s">
        <v>150</v>
      </c>
      <c r="I16" s="3" t="s">
        <v>32</v>
      </c>
      <c r="J16" s="17" t="s">
        <v>34</v>
      </c>
      <c r="K16" s="14"/>
    </row>
    <row r="17" spans="1:14" ht="15" thickBot="1">
      <c r="A17" s="240"/>
      <c r="B17" s="241"/>
      <c r="C17" s="242"/>
      <c r="D17" s="14"/>
      <c r="E17" s="3" t="s">
        <v>35</v>
      </c>
      <c r="F17" s="3" t="s">
        <v>149</v>
      </c>
      <c r="G17" s="3" t="s">
        <v>151</v>
      </c>
      <c r="H17" s="3" t="s">
        <v>149</v>
      </c>
      <c r="I17" s="3" t="s">
        <v>151</v>
      </c>
      <c r="J17" s="17" t="s">
        <v>6</v>
      </c>
      <c r="K17" s="14"/>
    </row>
    <row r="18" spans="1:14" ht="15" thickBot="1">
      <c r="A18" s="243"/>
      <c r="B18" s="244"/>
      <c r="C18" s="245"/>
      <c r="D18" s="14"/>
      <c r="E18" s="3" t="s">
        <v>37</v>
      </c>
      <c r="F18" s="3" t="s">
        <v>152</v>
      </c>
      <c r="G18" s="3" t="s">
        <v>153</v>
      </c>
      <c r="H18" s="3" t="s">
        <v>152</v>
      </c>
      <c r="I18" s="3" t="s">
        <v>153</v>
      </c>
      <c r="J18" s="17" t="s">
        <v>6</v>
      </c>
    </row>
    <row r="19" spans="1:14" ht="15" thickBot="1">
      <c r="A19" s="30"/>
      <c r="B19" s="31"/>
      <c r="C19" s="32"/>
      <c r="D19" s="14"/>
      <c r="E19" s="222" t="s">
        <v>39</v>
      </c>
      <c r="F19" s="223"/>
      <c r="G19" s="223"/>
      <c r="H19" s="223"/>
      <c r="I19" s="223"/>
      <c r="J19" s="224"/>
    </row>
    <row r="20" spans="1:14" ht="15" thickBot="1">
      <c r="A20" s="29"/>
      <c r="B20" s="16"/>
      <c r="C20" s="16"/>
      <c r="E20" s="3"/>
      <c r="F20" s="4" t="s">
        <v>27</v>
      </c>
      <c r="G20" s="4" t="s">
        <v>28</v>
      </c>
      <c r="H20" s="4" t="s">
        <v>29</v>
      </c>
      <c r="I20" s="4" t="s">
        <v>30</v>
      </c>
      <c r="J20" s="4" t="s">
        <v>2</v>
      </c>
    </row>
    <row r="21" spans="1:14" ht="44" thickBot="1">
      <c r="E21" s="38" t="s">
        <v>40</v>
      </c>
      <c r="F21" s="48" t="s">
        <v>150</v>
      </c>
      <c r="G21" s="48" t="s">
        <v>32</v>
      </c>
      <c r="H21" s="48" t="s">
        <v>32</v>
      </c>
      <c r="I21" s="48" t="s">
        <v>33</v>
      </c>
      <c r="J21" s="48" t="s">
        <v>41</v>
      </c>
    </row>
    <row r="22" spans="1:14" ht="58.5" thickBot="1">
      <c r="E22" s="38" t="s">
        <v>42</v>
      </c>
      <c r="F22" s="48" t="s">
        <v>150</v>
      </c>
      <c r="G22" s="48" t="s">
        <v>43</v>
      </c>
      <c r="H22" s="48" t="s">
        <v>43</v>
      </c>
      <c r="I22" s="48" t="s">
        <v>43</v>
      </c>
      <c r="J22" s="48" t="s">
        <v>44</v>
      </c>
      <c r="N22" s="1" t="str">
        <f>IF(C13="Dropdown here for Status Description","Status help screen",IF(C13="IN PROGRESS","Tasks are worked upon and the team is working towards the target date but does not have estimated time of completion and cannot forecast any issues in the project",IF(C13="COMPLETE","Work on the project has finished, and all deliverables/tasks have been completed",IF(C13="ON TRACK","Tasks are worked upon and the team is working towards the target date and is on time to meet the schedule",IF(C13="OVERDUE"," task that is past their given timeline to complete.",IF(C13="NOT STARTED",A14="Efforts that are not started",IF(C13="ON HOLD","The project has not finished, and work on the project has been temporarily suspended.",IF(C13="CANCELLED","The project has not finished, and work on the project will not continue.",""))))))))</f>
        <v/>
      </c>
    </row>
    <row r="23" spans="1:14" ht="73" thickBot="1">
      <c r="E23" s="38" t="s">
        <v>155</v>
      </c>
      <c r="F23" s="48" t="s">
        <v>156</v>
      </c>
      <c r="G23" s="48" t="s">
        <v>43</v>
      </c>
      <c r="H23" s="48" t="s">
        <v>156</v>
      </c>
      <c r="I23" s="48" t="s">
        <v>33</v>
      </c>
      <c r="J23" s="48" t="s">
        <v>44</v>
      </c>
    </row>
    <row r="24" spans="1:14" ht="73" thickBot="1">
      <c r="E24" s="46" t="s">
        <v>154</v>
      </c>
      <c r="F24" s="48" t="s">
        <v>149</v>
      </c>
      <c r="G24" s="48" t="s">
        <v>158</v>
      </c>
      <c r="H24" s="48"/>
      <c r="I24" s="48"/>
      <c r="J24" s="48" t="s">
        <v>44</v>
      </c>
    </row>
    <row r="25" spans="1:14" ht="58.5" thickBot="1">
      <c r="E25" s="47" t="s">
        <v>121</v>
      </c>
      <c r="F25" s="48" t="s">
        <v>157</v>
      </c>
      <c r="G25" s="48" t="s">
        <v>36</v>
      </c>
      <c r="H25" s="48"/>
      <c r="I25" s="48"/>
      <c r="J25" s="48" t="s">
        <v>44</v>
      </c>
    </row>
    <row r="26" spans="1:14" ht="15" thickBot="1">
      <c r="E26" s="47" t="s">
        <v>130</v>
      </c>
      <c r="F26" s="3" t="s">
        <v>152</v>
      </c>
      <c r="G26" s="3" t="s">
        <v>153</v>
      </c>
      <c r="H26" s="48"/>
      <c r="I26" s="48"/>
      <c r="J26" s="48"/>
    </row>
    <row r="27" spans="1:14" ht="15" thickBot="1">
      <c r="E27" s="47"/>
      <c r="F27" s="3"/>
      <c r="G27" s="3"/>
      <c r="H27" s="3"/>
      <c r="I27" s="3"/>
      <c r="J27" s="3"/>
    </row>
    <row r="28" spans="1:14" s="8" customFormat="1" ht="15" thickBot="1">
      <c r="A28" s="10"/>
      <c r="B28" s="1"/>
      <c r="C28" s="1"/>
      <c r="E28" s="222" t="s">
        <v>45</v>
      </c>
      <c r="F28" s="223"/>
      <c r="G28" s="223"/>
      <c r="H28" s="223"/>
      <c r="I28" s="223"/>
      <c r="J28" s="224"/>
    </row>
    <row r="29" spans="1:14" ht="15" thickBot="1">
      <c r="B29" s="8"/>
      <c r="C29" s="8"/>
      <c r="E29" s="41" t="s">
        <v>46</v>
      </c>
      <c r="F29" s="220" t="s">
        <v>47</v>
      </c>
      <c r="G29" s="220"/>
      <c r="H29" s="220"/>
      <c r="I29" s="7" t="s">
        <v>48</v>
      </c>
      <c r="J29" s="9" t="s">
        <v>49</v>
      </c>
    </row>
    <row r="30" spans="1:14" ht="15" thickBot="1">
      <c r="D30" s="40"/>
      <c r="E30" s="51"/>
      <c r="F30" s="246"/>
      <c r="G30" s="221"/>
      <c r="H30" s="221"/>
      <c r="I30" s="39"/>
      <c r="J30" s="4"/>
    </row>
    <row r="31" spans="1:14" ht="15" thickBot="1">
      <c r="E31" s="42"/>
      <c r="F31" s="247"/>
      <c r="G31" s="221"/>
      <c r="H31" s="221"/>
      <c r="I31" s="39"/>
      <c r="J31" s="4"/>
    </row>
    <row r="32" spans="1:14" ht="15" thickBot="1">
      <c r="E32" s="6"/>
      <c r="F32" s="221"/>
      <c r="G32" s="221"/>
      <c r="H32" s="221"/>
      <c r="I32" s="5"/>
      <c r="J32" s="5"/>
    </row>
    <row r="33" spans="2:11" ht="15" thickBot="1">
      <c r="E33" s="6"/>
      <c r="F33" s="221"/>
      <c r="G33" s="221"/>
      <c r="H33" s="221"/>
      <c r="I33" s="5"/>
      <c r="J33" s="5"/>
    </row>
    <row r="34" spans="2:11" s="10" customFormat="1" ht="15" thickBot="1">
      <c r="B34" s="1"/>
      <c r="C34" s="1"/>
      <c r="E34" s="222" t="s">
        <v>54</v>
      </c>
      <c r="F34" s="223"/>
      <c r="G34" s="223"/>
      <c r="H34" s="223"/>
      <c r="I34" s="223"/>
      <c r="J34" s="224"/>
    </row>
    <row r="35" spans="2:11" ht="15" thickBot="1">
      <c r="B35" s="10"/>
      <c r="C35" s="10"/>
      <c r="E35" s="7" t="s">
        <v>46</v>
      </c>
      <c r="F35" s="219" t="s">
        <v>55</v>
      </c>
      <c r="G35" s="220"/>
      <c r="H35" s="220"/>
      <c r="I35" s="7" t="s">
        <v>56</v>
      </c>
      <c r="J35" s="9" t="s">
        <v>57</v>
      </c>
    </row>
    <row r="36" spans="2:11" ht="15" thickBot="1">
      <c r="E36" s="6"/>
      <c r="F36" s="221"/>
      <c r="G36" s="221"/>
      <c r="H36" s="221"/>
      <c r="I36" s="5"/>
      <c r="J36" s="5"/>
    </row>
    <row r="37" spans="2:11" ht="15" thickBot="1">
      <c r="E37" s="6"/>
      <c r="F37" s="221"/>
      <c r="G37" s="221"/>
      <c r="H37" s="221"/>
      <c r="I37" s="5"/>
      <c r="J37" s="5"/>
    </row>
    <row r="38" spans="2:11" ht="15" thickBot="1">
      <c r="E38" s="6"/>
      <c r="F38" s="221"/>
      <c r="G38" s="221"/>
      <c r="H38" s="221"/>
      <c r="I38" s="5"/>
      <c r="J38" s="5"/>
    </row>
    <row r="39" spans="2:11" ht="15" thickBot="1">
      <c r="E39" s="222" t="s">
        <v>240</v>
      </c>
      <c r="F39" s="223"/>
      <c r="G39" s="223"/>
      <c r="H39" s="223"/>
      <c r="I39" s="223"/>
      <c r="J39" s="224"/>
    </row>
    <row r="40" spans="2:11" ht="15" thickBot="1">
      <c r="D40" s="40"/>
      <c r="E40" s="5" t="s">
        <v>58</v>
      </c>
      <c r="F40" s="225"/>
      <c r="G40" s="226"/>
      <c r="H40" s="226"/>
      <c r="I40" s="226"/>
      <c r="J40" s="227"/>
      <c r="K40" s="14"/>
    </row>
    <row r="41" spans="2:11">
      <c r="D41" s="40"/>
      <c r="E41" s="63" t="s">
        <v>216</v>
      </c>
      <c r="F41" s="228" t="s">
        <v>202</v>
      </c>
      <c r="G41" s="229" t="s">
        <v>202</v>
      </c>
      <c r="H41" s="229" t="s">
        <v>202</v>
      </c>
      <c r="I41" s="229" t="s">
        <v>202</v>
      </c>
      <c r="J41" s="230" t="s">
        <v>202</v>
      </c>
      <c r="K41" s="14"/>
    </row>
    <row r="42" spans="2:11">
      <c r="D42" s="40"/>
      <c r="E42" s="63" t="s">
        <v>217</v>
      </c>
      <c r="F42" s="193" t="s">
        <v>203</v>
      </c>
      <c r="G42" s="204" t="s">
        <v>203</v>
      </c>
      <c r="H42" s="204" t="s">
        <v>203</v>
      </c>
      <c r="I42" s="204" t="s">
        <v>203</v>
      </c>
      <c r="J42" s="194" t="s">
        <v>203</v>
      </c>
      <c r="K42" s="14"/>
    </row>
    <row r="43" spans="2:11">
      <c r="D43" s="40"/>
      <c r="E43" s="63" t="s">
        <v>218</v>
      </c>
      <c r="F43" s="193" t="s">
        <v>204</v>
      </c>
      <c r="G43" s="204" t="s">
        <v>204</v>
      </c>
      <c r="H43" s="204" t="s">
        <v>204</v>
      </c>
      <c r="I43" s="204" t="s">
        <v>204</v>
      </c>
      <c r="J43" s="194" t="s">
        <v>204</v>
      </c>
      <c r="K43" s="14"/>
    </row>
    <row r="44" spans="2:11">
      <c r="D44" s="40"/>
      <c r="E44" s="63" t="s">
        <v>219</v>
      </c>
      <c r="F44" s="193" t="s">
        <v>205</v>
      </c>
      <c r="G44" s="204" t="s">
        <v>205</v>
      </c>
      <c r="H44" s="204" t="s">
        <v>205</v>
      </c>
      <c r="I44" s="204" t="s">
        <v>205</v>
      </c>
      <c r="J44" s="194" t="s">
        <v>205</v>
      </c>
      <c r="K44" s="14"/>
    </row>
    <row r="45" spans="2:11">
      <c r="D45" s="40"/>
      <c r="E45" s="63" t="s">
        <v>220</v>
      </c>
      <c r="F45" s="205" t="s">
        <v>206</v>
      </c>
      <c r="G45" s="206" t="s">
        <v>206</v>
      </c>
      <c r="H45" s="206" t="s">
        <v>206</v>
      </c>
      <c r="I45" s="206" t="s">
        <v>206</v>
      </c>
      <c r="J45" s="207" t="s">
        <v>206</v>
      </c>
      <c r="K45" s="14"/>
    </row>
    <row r="46" spans="2:11">
      <c r="D46" s="40"/>
      <c r="E46" s="63" t="s">
        <v>215</v>
      </c>
      <c r="F46" s="205" t="s">
        <v>180</v>
      </c>
      <c r="G46" s="206" t="s">
        <v>180</v>
      </c>
      <c r="H46" s="206" t="s">
        <v>180</v>
      </c>
      <c r="I46" s="206" t="s">
        <v>180</v>
      </c>
      <c r="J46" s="207" t="s">
        <v>180</v>
      </c>
      <c r="K46" s="14"/>
    </row>
    <row r="47" spans="2:11">
      <c r="D47" s="40"/>
      <c r="E47" s="63" t="s">
        <v>221</v>
      </c>
      <c r="F47" s="193" t="s">
        <v>207</v>
      </c>
      <c r="G47" s="204" t="s">
        <v>207</v>
      </c>
      <c r="H47" s="204" t="s">
        <v>207</v>
      </c>
      <c r="I47" s="204" t="s">
        <v>207</v>
      </c>
      <c r="J47" s="194" t="s">
        <v>207</v>
      </c>
      <c r="K47" s="14"/>
    </row>
    <row r="48" spans="2:11">
      <c r="D48" s="40"/>
      <c r="E48" s="63" t="s">
        <v>222</v>
      </c>
      <c r="F48" s="205" t="s">
        <v>208</v>
      </c>
      <c r="G48" s="206" t="s">
        <v>208</v>
      </c>
      <c r="H48" s="206" t="s">
        <v>208</v>
      </c>
      <c r="I48" s="206" t="s">
        <v>208</v>
      </c>
      <c r="J48" s="207" t="s">
        <v>208</v>
      </c>
      <c r="K48" s="14"/>
    </row>
    <row r="49" spans="4:11">
      <c r="D49" s="40"/>
      <c r="E49" s="63" t="s">
        <v>223</v>
      </c>
      <c r="F49" s="193" t="s">
        <v>209</v>
      </c>
      <c r="G49" s="204" t="s">
        <v>209</v>
      </c>
      <c r="H49" s="204" t="s">
        <v>209</v>
      </c>
      <c r="I49" s="204" t="s">
        <v>209</v>
      </c>
      <c r="J49" s="194" t="s">
        <v>209</v>
      </c>
      <c r="K49" s="14"/>
    </row>
    <row r="50" spans="4:11">
      <c r="D50" s="40"/>
      <c r="E50" s="63" t="s">
        <v>224</v>
      </c>
      <c r="F50" s="193" t="s">
        <v>210</v>
      </c>
      <c r="G50" s="204" t="s">
        <v>210</v>
      </c>
      <c r="H50" s="204" t="s">
        <v>210</v>
      </c>
      <c r="I50" s="204" t="s">
        <v>210</v>
      </c>
      <c r="J50" s="194" t="s">
        <v>210</v>
      </c>
      <c r="K50" s="14"/>
    </row>
    <row r="51" spans="4:11">
      <c r="D51" s="40"/>
      <c r="E51" s="63" t="s">
        <v>225</v>
      </c>
      <c r="F51" s="205" t="s">
        <v>211</v>
      </c>
      <c r="G51" s="206" t="s">
        <v>211</v>
      </c>
      <c r="H51" s="206" t="s">
        <v>211</v>
      </c>
      <c r="I51" s="206" t="s">
        <v>211</v>
      </c>
      <c r="J51" s="207" t="s">
        <v>211</v>
      </c>
      <c r="K51" s="14"/>
    </row>
    <row r="52" spans="4:11" ht="15" thickBot="1">
      <c r="D52" s="40"/>
      <c r="E52" s="64" t="s">
        <v>226</v>
      </c>
      <c r="F52" s="208" t="s">
        <v>212</v>
      </c>
      <c r="G52" s="209" t="s">
        <v>212</v>
      </c>
      <c r="H52" s="209" t="s">
        <v>212</v>
      </c>
      <c r="I52" s="209" t="s">
        <v>212</v>
      </c>
      <c r="J52" s="210" t="s">
        <v>212</v>
      </c>
      <c r="K52" s="14"/>
    </row>
    <row r="53" spans="4:11" ht="15" thickBot="1">
      <c r="D53" s="40"/>
      <c r="E53" s="62"/>
      <c r="F53" s="211"/>
      <c r="G53" s="211"/>
      <c r="H53" s="211"/>
      <c r="I53" s="211"/>
      <c r="J53" s="212"/>
    </row>
    <row r="54" spans="4:11">
      <c r="D54" s="40"/>
      <c r="E54" s="213" t="s">
        <v>249</v>
      </c>
      <c r="F54" s="214"/>
      <c r="G54" s="214"/>
      <c r="H54" s="214"/>
      <c r="I54" s="214"/>
      <c r="J54" s="215"/>
    </row>
    <row r="55" spans="4:11">
      <c r="D55" s="40"/>
      <c r="E55" s="49" t="s">
        <v>58</v>
      </c>
      <c r="F55" s="216"/>
      <c r="G55" s="217"/>
      <c r="H55" s="217"/>
      <c r="I55" s="217"/>
      <c r="J55" s="218"/>
      <c r="K55" s="14"/>
    </row>
    <row r="56" spans="4:11">
      <c r="D56" s="40"/>
      <c r="E56" s="49"/>
      <c r="F56" s="198" t="s">
        <v>213</v>
      </c>
      <c r="G56" s="202"/>
      <c r="H56" s="202"/>
      <c r="I56" s="202"/>
      <c r="J56" s="203"/>
      <c r="K56" s="14"/>
    </row>
    <row r="57" spans="4:11">
      <c r="D57" s="40"/>
      <c r="E57" s="61"/>
      <c r="F57" s="201"/>
      <c r="G57" s="202"/>
      <c r="H57" s="202"/>
      <c r="I57" s="202"/>
      <c r="J57" s="203"/>
      <c r="K57" s="14"/>
    </row>
    <row r="58" spans="4:11">
      <c r="D58" s="40"/>
      <c r="E58" s="63" t="s">
        <v>191</v>
      </c>
      <c r="F58" s="198" t="s">
        <v>183</v>
      </c>
      <c r="G58" s="199" t="s">
        <v>183</v>
      </c>
      <c r="H58" s="199" t="s">
        <v>183</v>
      </c>
      <c r="I58" s="199" t="s">
        <v>183</v>
      </c>
      <c r="J58" s="200" t="s">
        <v>183</v>
      </c>
      <c r="K58" s="14"/>
    </row>
    <row r="59" spans="4:11">
      <c r="D59" s="40"/>
      <c r="E59" s="63" t="s">
        <v>192</v>
      </c>
      <c r="F59" s="198" t="s">
        <v>184</v>
      </c>
      <c r="G59" s="199" t="s">
        <v>184</v>
      </c>
      <c r="H59" s="199" t="s">
        <v>184</v>
      </c>
      <c r="I59" s="199" t="s">
        <v>184</v>
      </c>
      <c r="J59" s="200" t="s">
        <v>184</v>
      </c>
      <c r="K59" s="14"/>
    </row>
    <row r="60" spans="4:11">
      <c r="D60" s="40"/>
      <c r="E60" s="63" t="s">
        <v>193</v>
      </c>
      <c r="F60" s="198" t="s">
        <v>185</v>
      </c>
      <c r="G60" s="199" t="s">
        <v>185</v>
      </c>
      <c r="H60" s="199" t="s">
        <v>185</v>
      </c>
      <c r="I60" s="199" t="s">
        <v>185</v>
      </c>
      <c r="J60" s="200" t="s">
        <v>185</v>
      </c>
      <c r="K60" s="14"/>
    </row>
    <row r="61" spans="4:11" ht="15" thickBot="1">
      <c r="D61" s="40"/>
      <c r="E61" s="68" t="s">
        <v>197</v>
      </c>
      <c r="F61" s="198" t="s">
        <v>187</v>
      </c>
      <c r="G61" s="199"/>
      <c r="H61" s="199"/>
      <c r="I61" s="199"/>
      <c r="J61" s="200"/>
      <c r="K61" s="14"/>
    </row>
    <row r="62" spans="4:11">
      <c r="D62" s="40"/>
      <c r="E62" s="61"/>
      <c r="F62" s="201"/>
      <c r="G62" s="202"/>
      <c r="H62" s="202"/>
      <c r="I62" s="202"/>
      <c r="J62" s="203"/>
      <c r="K62" s="14"/>
    </row>
    <row r="63" spans="4:11">
      <c r="D63" s="40"/>
      <c r="E63" s="61"/>
      <c r="F63" s="198" t="s">
        <v>214</v>
      </c>
      <c r="G63" s="202"/>
      <c r="H63" s="202"/>
      <c r="I63" s="202"/>
      <c r="J63" s="203"/>
      <c r="K63" s="14"/>
    </row>
    <row r="64" spans="4:11" ht="14.5" customHeight="1">
      <c r="D64" s="40"/>
      <c r="E64" s="61"/>
      <c r="F64" s="201"/>
      <c r="G64" s="202"/>
      <c r="H64" s="202"/>
      <c r="I64" s="202"/>
      <c r="J64" s="203"/>
      <c r="K64" s="14"/>
    </row>
    <row r="65" spans="4:11">
      <c r="D65" s="40"/>
      <c r="E65" s="63" t="s">
        <v>220</v>
      </c>
      <c r="F65" s="193" t="s">
        <v>206</v>
      </c>
      <c r="G65" s="204" t="s">
        <v>206</v>
      </c>
      <c r="H65" s="204" t="s">
        <v>206</v>
      </c>
      <c r="I65" s="204" t="s">
        <v>206</v>
      </c>
      <c r="J65" s="194" t="s">
        <v>206</v>
      </c>
      <c r="K65" s="14"/>
    </row>
    <row r="66" spans="4:11">
      <c r="D66" s="40"/>
      <c r="E66" s="63" t="s">
        <v>215</v>
      </c>
      <c r="F66" s="193" t="s">
        <v>180</v>
      </c>
      <c r="G66" s="204" t="s">
        <v>180</v>
      </c>
      <c r="H66" s="204" t="s">
        <v>180</v>
      </c>
      <c r="I66" s="204" t="s">
        <v>180</v>
      </c>
      <c r="J66" s="194" t="s">
        <v>180</v>
      </c>
      <c r="K66" s="14"/>
    </row>
    <row r="67" spans="4:11">
      <c r="D67" s="40"/>
      <c r="E67" s="63" t="s">
        <v>222</v>
      </c>
      <c r="F67" s="193" t="s">
        <v>208</v>
      </c>
      <c r="G67" s="204" t="s">
        <v>208</v>
      </c>
      <c r="H67" s="204" t="s">
        <v>208</v>
      </c>
      <c r="I67" s="204" t="s">
        <v>208</v>
      </c>
      <c r="J67" s="194" t="s">
        <v>208</v>
      </c>
      <c r="K67" s="14"/>
    </row>
    <row r="68" spans="4:11">
      <c r="D68" s="40"/>
      <c r="E68" s="63" t="s">
        <v>225</v>
      </c>
      <c r="F68" s="193" t="s">
        <v>211</v>
      </c>
      <c r="G68" s="204" t="s">
        <v>211</v>
      </c>
      <c r="H68" s="204" t="s">
        <v>211</v>
      </c>
      <c r="I68" s="204" t="s">
        <v>211</v>
      </c>
      <c r="J68" s="194" t="s">
        <v>211</v>
      </c>
      <c r="K68" s="14"/>
    </row>
    <row r="69" spans="4:11">
      <c r="D69" s="40"/>
      <c r="E69" s="61"/>
      <c r="F69" s="201"/>
      <c r="G69" s="202"/>
      <c r="H69" s="202"/>
      <c r="I69" s="202"/>
      <c r="J69" s="203"/>
      <c r="K69" s="14"/>
    </row>
    <row r="70" spans="4:11" ht="16.5">
      <c r="D70" s="40"/>
      <c r="E70" s="50"/>
      <c r="F70" s="195"/>
      <c r="G70" s="196"/>
      <c r="H70" s="196"/>
      <c r="I70" s="196"/>
      <c r="J70" s="197"/>
      <c r="K70" s="14"/>
    </row>
    <row r="71" spans="4:11" ht="17" thickBot="1">
      <c r="D71" s="40"/>
      <c r="E71" s="52"/>
      <c r="F71" s="182"/>
      <c r="G71" s="183"/>
      <c r="H71" s="183"/>
      <c r="I71" s="183"/>
      <c r="J71" s="184"/>
      <c r="K71" s="14"/>
    </row>
    <row r="72" spans="4:11" ht="15" thickBot="1">
      <c r="D72" s="40"/>
      <c r="E72" s="185" t="s">
        <v>250</v>
      </c>
      <c r="F72" s="186"/>
      <c r="G72" s="186"/>
      <c r="H72" s="186"/>
      <c r="I72" s="186"/>
      <c r="J72" s="187"/>
      <c r="K72" s="14"/>
    </row>
    <row r="73" spans="4:11" ht="15" thickBot="1">
      <c r="D73" s="40"/>
      <c r="E73" s="188" t="s">
        <v>59</v>
      </c>
      <c r="F73" s="189"/>
      <c r="G73" s="190" t="s">
        <v>56</v>
      </c>
      <c r="H73" s="191"/>
      <c r="I73" s="192" t="s">
        <v>60</v>
      </c>
      <c r="J73" s="191"/>
      <c r="K73" s="14"/>
    </row>
    <row r="74" spans="4:11">
      <c r="D74" s="40"/>
      <c r="E74" s="67" t="s">
        <v>201</v>
      </c>
      <c r="F74" s="66"/>
      <c r="G74" s="65"/>
      <c r="H74" s="66"/>
      <c r="I74" s="65"/>
      <c r="J74" s="66"/>
      <c r="K74" s="14"/>
    </row>
    <row r="75" spans="4:11">
      <c r="D75" s="40"/>
      <c r="E75" s="100" t="s">
        <v>168</v>
      </c>
      <c r="F75" s="101"/>
      <c r="G75" s="178" t="s">
        <v>131</v>
      </c>
      <c r="H75" s="179"/>
      <c r="I75" s="103" t="s">
        <v>169</v>
      </c>
      <c r="J75" s="110"/>
      <c r="K75" s="14"/>
    </row>
    <row r="76" spans="4:11">
      <c r="D76" s="40"/>
      <c r="E76" s="100" t="s">
        <v>170</v>
      </c>
      <c r="F76" s="102"/>
      <c r="G76" s="193" t="s">
        <v>172</v>
      </c>
      <c r="H76" s="194"/>
      <c r="I76" s="109" t="s">
        <v>173</v>
      </c>
      <c r="J76" s="111"/>
      <c r="K76" s="14"/>
    </row>
    <row r="77" spans="4:11">
      <c r="D77" s="40"/>
      <c r="E77" s="100" t="s">
        <v>171</v>
      </c>
      <c r="F77" s="102"/>
      <c r="G77" s="178" t="s">
        <v>61</v>
      </c>
      <c r="H77" s="179"/>
      <c r="I77" s="109" t="s">
        <v>174</v>
      </c>
      <c r="J77" s="111"/>
      <c r="K77" s="14"/>
    </row>
    <row r="78" spans="4:11">
      <c r="D78" s="40"/>
      <c r="E78" s="100" t="s">
        <v>175</v>
      </c>
      <c r="F78" s="102"/>
      <c r="G78" s="193" t="s">
        <v>176</v>
      </c>
      <c r="H78" s="194"/>
      <c r="I78" s="109" t="s">
        <v>177</v>
      </c>
      <c r="J78" s="111"/>
      <c r="K78" s="14"/>
    </row>
    <row r="79" spans="4:11">
      <c r="D79" s="40"/>
      <c r="E79" s="103" t="s">
        <v>239</v>
      </c>
      <c r="F79" s="102"/>
      <c r="G79" s="193"/>
      <c r="H79" s="194"/>
      <c r="I79" s="109"/>
      <c r="J79" s="111"/>
      <c r="K79" s="14"/>
    </row>
    <row r="80" spans="4:11">
      <c r="D80" s="40"/>
      <c r="E80" s="63" t="s">
        <v>189</v>
      </c>
      <c r="F80" s="104"/>
      <c r="G80" s="193" t="s">
        <v>176</v>
      </c>
      <c r="H80" s="194"/>
      <c r="I80" s="103" t="s">
        <v>181</v>
      </c>
      <c r="J80" s="110"/>
      <c r="K80" s="14"/>
    </row>
    <row r="81" spans="4:11">
      <c r="D81" s="40"/>
      <c r="E81" s="63" t="s">
        <v>190</v>
      </c>
      <c r="F81" s="105"/>
      <c r="G81" s="178" t="s">
        <v>227</v>
      </c>
      <c r="H81" s="179"/>
      <c r="I81" s="109" t="s">
        <v>182</v>
      </c>
      <c r="J81" s="108"/>
      <c r="K81" s="14"/>
    </row>
    <row r="82" spans="4:11">
      <c r="D82" s="40"/>
      <c r="E82" s="63" t="s">
        <v>194</v>
      </c>
      <c r="F82" s="105"/>
      <c r="G82" s="178" t="s">
        <v>227</v>
      </c>
      <c r="H82" s="179"/>
      <c r="I82" s="109" t="s">
        <v>186</v>
      </c>
      <c r="J82" s="111"/>
      <c r="K82" s="14"/>
    </row>
    <row r="83" spans="4:11">
      <c r="D83" s="40"/>
      <c r="E83" s="106" t="s">
        <v>195</v>
      </c>
      <c r="F83" s="105"/>
      <c r="G83" s="178" t="s">
        <v>227</v>
      </c>
      <c r="H83" s="179"/>
      <c r="I83" s="109" t="s">
        <v>228</v>
      </c>
      <c r="J83" s="111"/>
      <c r="K83" s="14"/>
    </row>
    <row r="84" spans="4:11">
      <c r="D84" s="40"/>
      <c r="E84" s="63" t="s">
        <v>196</v>
      </c>
      <c r="F84" s="105"/>
      <c r="G84" s="178" t="s">
        <v>227</v>
      </c>
      <c r="H84" s="179"/>
      <c r="I84" s="109" t="s">
        <v>182</v>
      </c>
      <c r="J84" s="108"/>
      <c r="K84" s="14"/>
    </row>
    <row r="85" spans="4:11">
      <c r="D85" s="40"/>
      <c r="E85" s="63" t="s">
        <v>198</v>
      </c>
      <c r="F85" s="105"/>
      <c r="G85" s="178" t="s">
        <v>176</v>
      </c>
      <c r="H85" s="179"/>
      <c r="I85" s="109" t="s">
        <v>188</v>
      </c>
      <c r="J85" s="111"/>
      <c r="K85" s="14"/>
    </row>
    <row r="86" spans="4:11" ht="15" thickBot="1">
      <c r="D86" s="40"/>
      <c r="E86" s="68" t="s">
        <v>178</v>
      </c>
      <c r="F86" s="107"/>
      <c r="G86" s="180" t="s">
        <v>227</v>
      </c>
      <c r="H86" s="181"/>
      <c r="I86" s="112" t="s">
        <v>179</v>
      </c>
      <c r="J86" s="113"/>
      <c r="K86" s="14"/>
    </row>
    <row r="87" spans="4:11">
      <c r="D87" s="40"/>
      <c r="K87" s="14"/>
    </row>
    <row r="88" spans="4:11">
      <c r="D88" s="40"/>
      <c r="I88" s="14"/>
      <c r="K88" s="14"/>
    </row>
    <row r="89" spans="4:11">
      <c r="D89" s="40"/>
      <c r="E89" s="43"/>
      <c r="F89" s="44"/>
      <c r="G89" s="44"/>
      <c r="H89" s="44"/>
      <c r="I89" s="44"/>
      <c r="J89" s="45"/>
      <c r="K89" s="14"/>
    </row>
    <row r="90" spans="4:11">
      <c r="D90" s="40"/>
      <c r="K90" s="14"/>
    </row>
    <row r="91" spans="4:11">
      <c r="I91" s="14"/>
      <c r="K91" s="14"/>
    </row>
    <row r="92" spans="4:11">
      <c r="I92" s="14"/>
      <c r="K92" s="14"/>
    </row>
    <row r="93" spans="4:11">
      <c r="I93" s="14"/>
      <c r="K93" s="14"/>
    </row>
    <row r="94" spans="4:11">
      <c r="I94" s="14"/>
      <c r="K94" s="14"/>
    </row>
    <row r="95" spans="4:11">
      <c r="I95" s="14"/>
      <c r="K95" s="14"/>
    </row>
    <row r="96" spans="4:11">
      <c r="K96" s="14"/>
    </row>
    <row r="102" ht="14.5" customHeight="1"/>
    <row r="2021" spans="5:9">
      <c r="H2021" s="1" t="s">
        <v>23</v>
      </c>
      <c r="I2021" s="25" t="s">
        <v>62</v>
      </c>
    </row>
    <row r="2022" spans="5:9">
      <c r="E2022" s="1" t="s">
        <v>63</v>
      </c>
      <c r="F2022" s="1" t="s">
        <v>52</v>
      </c>
      <c r="G2022" s="21" t="s">
        <v>5</v>
      </c>
      <c r="H2022" s="1" t="s">
        <v>14</v>
      </c>
      <c r="I2022" s="25" t="s">
        <v>64</v>
      </c>
    </row>
    <row r="2023" spans="5:9">
      <c r="E2023" s="1" t="s">
        <v>67</v>
      </c>
      <c r="F2023" s="1" t="s">
        <v>68</v>
      </c>
      <c r="G2023" s="22" t="s">
        <v>69</v>
      </c>
      <c r="H2023" s="1" t="s">
        <v>6</v>
      </c>
      <c r="I2023" s="25" t="s">
        <v>70</v>
      </c>
    </row>
    <row r="2024" spans="5:9">
      <c r="E2024" s="1" t="s">
        <v>53</v>
      </c>
      <c r="F2024" s="1" t="s">
        <v>71</v>
      </c>
      <c r="G2024" s="23" t="s">
        <v>11</v>
      </c>
      <c r="H2024" s="1" t="s">
        <v>65</v>
      </c>
      <c r="I2024" s="25" t="s">
        <v>72</v>
      </c>
    </row>
    <row r="2025" spans="5:9">
      <c r="E2025" s="1" t="s">
        <v>51</v>
      </c>
      <c r="F2025" s="1" t="s">
        <v>50</v>
      </c>
      <c r="H2025" s="1" t="s">
        <v>34</v>
      </c>
      <c r="I2025" s="25" t="s">
        <v>74</v>
      </c>
    </row>
    <row r="2026" spans="5:9">
      <c r="H2026" s="1" t="s">
        <v>73</v>
      </c>
      <c r="I2026" s="25" t="s">
        <v>76</v>
      </c>
    </row>
    <row r="2027" spans="5:9">
      <c r="H2027" s="1" t="s">
        <v>75</v>
      </c>
      <c r="I2027" s="25" t="s">
        <v>77</v>
      </c>
    </row>
    <row r="2028" spans="5:9">
      <c r="H2028" s="1" t="s">
        <v>38</v>
      </c>
      <c r="I2028" s="25" t="s">
        <v>78</v>
      </c>
    </row>
    <row r="2036" spans="2:3">
      <c r="B2036" s="1" t="s">
        <v>23</v>
      </c>
    </row>
    <row r="2037" spans="2:3">
      <c r="B2037" s="1" t="s">
        <v>14</v>
      </c>
    </row>
    <row r="2038" spans="2:3">
      <c r="B2038" s="1" t="s">
        <v>6</v>
      </c>
      <c r="C2038" s="1" t="s">
        <v>44</v>
      </c>
    </row>
    <row r="2039" spans="2:3">
      <c r="B2039" s="1" t="s">
        <v>65</v>
      </c>
      <c r="C2039" s="1" t="s">
        <v>66</v>
      </c>
    </row>
    <row r="2040" spans="2:3">
      <c r="B2040" s="1" t="s">
        <v>34</v>
      </c>
      <c r="C2040" s="1" t="s">
        <v>41</v>
      </c>
    </row>
    <row r="2041" spans="2:3">
      <c r="B2041" s="1" t="s">
        <v>73</v>
      </c>
    </row>
    <row r="2042" spans="2:3">
      <c r="B2042" s="1" t="s">
        <v>75</v>
      </c>
    </row>
    <row r="2043" spans="2:3">
      <c r="B2043" s="1" t="s">
        <v>38</v>
      </c>
    </row>
  </sheetData>
  <mergeCells count="77">
    <mergeCell ref="F7:J7"/>
    <mergeCell ref="E3:J3"/>
    <mergeCell ref="A4:C4"/>
    <mergeCell ref="E4:J4"/>
    <mergeCell ref="F5:J5"/>
    <mergeCell ref="F6:J6"/>
    <mergeCell ref="F8:J8"/>
    <mergeCell ref="F9:J9"/>
    <mergeCell ref="F10:J10"/>
    <mergeCell ref="F11:J11"/>
    <mergeCell ref="A12:C12"/>
    <mergeCell ref="F12:J12"/>
    <mergeCell ref="E34:J34"/>
    <mergeCell ref="A13:C13"/>
    <mergeCell ref="F13:J13"/>
    <mergeCell ref="A14:C18"/>
    <mergeCell ref="E14:J14"/>
    <mergeCell ref="E19:J19"/>
    <mergeCell ref="E28:J28"/>
    <mergeCell ref="F29:H29"/>
    <mergeCell ref="F30:H30"/>
    <mergeCell ref="F31:H31"/>
    <mergeCell ref="F32:H32"/>
    <mergeCell ref="F33:H33"/>
    <mergeCell ref="F46:J46"/>
    <mergeCell ref="F35:H35"/>
    <mergeCell ref="F36:H36"/>
    <mergeCell ref="F37:H37"/>
    <mergeCell ref="F38:H38"/>
    <mergeCell ref="E39:J39"/>
    <mergeCell ref="F40:J40"/>
    <mergeCell ref="F41:J41"/>
    <mergeCell ref="F42:J42"/>
    <mergeCell ref="F43:J43"/>
    <mergeCell ref="F44:J44"/>
    <mergeCell ref="F45:J45"/>
    <mergeCell ref="F58:J58"/>
    <mergeCell ref="F47:J47"/>
    <mergeCell ref="F48:J48"/>
    <mergeCell ref="F49:J49"/>
    <mergeCell ref="F50:J50"/>
    <mergeCell ref="F51:J51"/>
    <mergeCell ref="F52:J52"/>
    <mergeCell ref="F53:J53"/>
    <mergeCell ref="E54:J54"/>
    <mergeCell ref="F55:J55"/>
    <mergeCell ref="F56:J56"/>
    <mergeCell ref="F57:J57"/>
    <mergeCell ref="F70:J70"/>
    <mergeCell ref="F59:J59"/>
    <mergeCell ref="F60:J60"/>
    <mergeCell ref="F61:J61"/>
    <mergeCell ref="F62:J62"/>
    <mergeCell ref="F63:J63"/>
    <mergeCell ref="F64:J64"/>
    <mergeCell ref="F65:J65"/>
    <mergeCell ref="F66:J66"/>
    <mergeCell ref="F67:J67"/>
    <mergeCell ref="F68:J68"/>
    <mergeCell ref="F69:J69"/>
    <mergeCell ref="G81:H81"/>
    <mergeCell ref="F71:J71"/>
    <mergeCell ref="E72:J72"/>
    <mergeCell ref="E73:F73"/>
    <mergeCell ref="G73:H73"/>
    <mergeCell ref="I73:J73"/>
    <mergeCell ref="G75:H75"/>
    <mergeCell ref="G76:H76"/>
    <mergeCell ref="G77:H77"/>
    <mergeCell ref="G78:H78"/>
    <mergeCell ref="G79:H79"/>
    <mergeCell ref="G80:H80"/>
    <mergeCell ref="G82:H82"/>
    <mergeCell ref="G83:H83"/>
    <mergeCell ref="G84:H84"/>
    <mergeCell ref="G85:H85"/>
    <mergeCell ref="G86:H86"/>
  </mergeCells>
  <dataValidations count="6">
    <dataValidation type="list" showInputMessage="1" showErrorMessage="1" sqref="J21:J27">
      <formula1>$C$2038:$C$2040</formula1>
    </dataValidation>
    <dataValidation type="list" showInputMessage="1" showErrorMessage="1" sqref="J30:J33 J36:J38">
      <formula1>$E$2022:$E$2025</formula1>
    </dataValidation>
    <dataValidation type="list" showInputMessage="1" showErrorMessage="1" sqref="I32:I33">
      <formula1>$F$2022:$F$2026</formula1>
    </dataValidation>
    <dataValidation type="list" showInputMessage="1" showErrorMessage="1" sqref="B6:B11 J16:J18">
      <formula1>$B$2037:$B$2043</formula1>
    </dataValidation>
    <dataValidation type="list" showInputMessage="1" showErrorMessage="1" sqref="A6:A11">
      <formula1>$G$2022:$G$2024</formula1>
    </dataValidation>
    <dataValidation type="list" showErrorMessage="1" promptTitle="Dropdown Status for description" prompt="Choose the status for description " sqref="A13">
      <formula1>$B$2036:$B$2043</formula1>
    </dataValidation>
  </dataValidations>
  <hyperlinks>
    <hyperlink ref="E76" r:id="rId1" display="https://nam04.safelinks.protection.outlook.com/?url=https%3A%2F%2Fwisconsindpi.visualstudio.com%2Fd03023ea-9e63-4e4e-aa64-656b0167ed08%2F_workitems%2Fedit%2F238433&amp;data=05%7C02%7CVindhya.Jajavarapu%40dpi.wi.gov%7C246e1aa3afb6465864b708de81399456%7C1654d14032604903b5b718450051ce16%7C1%7C0%7C639090281497125747%7CUnknown%7CTWFpbGZsb3d8eyJFbXB0eU1hcGkiOnRydWUsIlYiOiIwLjAuMDAwMCIsIlAiOiJXaW4zMiIsIkFOIjoiTWFpbCIsIldUIjoyfQ%3D%3D%7C0%7C%7C%7C&amp;sdata=Gi2eRceXSdW0LTNXeJRaztxi7NUWFRcmX%2Bq4fTty%2FHI%3D&amp;reserved=0"/>
    <hyperlink ref="E77" r:id="rId2" display="https://nam04.safelinks.protection.outlook.com/?url=https%3A%2F%2Fwisconsindpi.visualstudio.com%2Fd03023ea-9e63-4e4e-aa64-656b0167ed08%2F_workitems%2Fedit%2F238818&amp;data=05%7C02%7CVindhya.Jajavarapu%40dpi.wi.gov%7C246e1aa3afb6465864b708de81399456%7C1654d14032604903b5b718450051ce16%7C1%7C0%7C639090281497163673%7CUnknown%7CTWFpbGZsb3d8eyJFbXB0eU1hcGkiOnRydWUsIlYiOiIwLjAuMDAwMCIsIlAiOiJXaW4zMiIsIkFOIjoiTWFpbCIsIldUIjoyfQ%3D%3D%7C0%7C%7C%7C&amp;sdata=pTnU8wPsa%2FiTpx29oz3O48k7yZZlTluKSdXhbswEk3M%3D&amp;reserved=0"/>
    <hyperlink ref="E76:F76" r:id="rId3" display="USERSTORY240260"/>
    <hyperlink ref="E77:F77" r:id="rId4" display="USERSTORY240259"/>
    <hyperlink ref="E75" r:id="rId5"/>
    <hyperlink ref="E78" r:id="rId6" display="https://nam04.safelinks.protection.outlook.com/?url=https%3A%2F%2Fwisconsindpi.visualstudio.com%2Fd03023ea-9e63-4e4e-aa64-656b0167ed08%2F_workitems%2Fedit%2F238819&amp;data=05%7C02%7CVindhya.Jajavarapu%40dpi.wi.gov%7C246e1aa3afb6465864b708de81399456%7C1654d14032604903b5b718450051ce16%7C1%7C0%7C639090281497175770%7CUnknown%7CTWFpbGZsb3d8eyJFbXB0eU1hcGkiOnRydWUsIlYiOiIwLjAuMDAwMCIsIlAiOiJXaW4zMiIsIkFOIjoiTWFpbCIsIldUIjoyfQ%3D%3D%7C0%7C%7C%7C&amp;sdata=19oXiOkkvaHn5ulrwxBJsvwxUZsDQ%2Fi0suFMqkeOqYA%3D&amp;reserved=0"/>
    <hyperlink ref="E78:F78" r:id="rId7" display="USERSTORY239398"/>
    <hyperlink ref="E41" r:id="rId8" display="https://nam04.safelinks.protection.outlook.com/?url=https%3A%2F%2Fwisconsindpi.visualstudio.com%2Fd03023ea-9e63-4e4e-aa64-656b0167ed08%2F_workitems%2Fedit%2F243331&amp;data=05%7C02%7CVindhya.Jajavarapu%40dpi.wi.gov%7Cfe959cee0cbd4dc1ad9d08de9b6c44db%7C1654d14032604903b5b718450051ce16%7C1%7C0%7C639119086506636003%7CUnknown%7CTWFpbGZsb3d8eyJFbXB0eU1hcGkiOnRydWUsIlYiOiIwLjAuMDAwMCIsIlAiOiJXaW4zMiIsIkFOIjoiTWFpbCIsIldUIjoyfQ%3D%3D%7C0%7C%7C%7C&amp;sdata=QwAdXbsWCsOhxsQqyDeQAfuGD0tykEb%2F3L%2BNHY6L1pI%3D&amp;reserved=0"/>
    <hyperlink ref="E42" r:id="rId9" display="https://nam04.safelinks.protection.outlook.com/?url=https%3A%2F%2Fwisconsindpi.visualstudio.com%2Fd03023ea-9e63-4e4e-aa64-656b0167ed08%2F_workitems%2Fedit%2F243171&amp;data=05%7C02%7CVindhya.Jajavarapu%40dpi.wi.gov%7Cfe959cee0cbd4dc1ad9d08de9b6c44db%7C1654d14032604903b5b718450051ce16%7C1%7C0%7C639119086506674427%7CUnknown%7CTWFpbGZsb3d8eyJFbXB0eU1hcGkiOnRydWUsIlYiOiIwLjAuMDAwMCIsIlAiOiJXaW4zMiIsIkFOIjoiTWFpbCIsIldUIjoyfQ%3D%3D%7C0%7C%7C%7C&amp;sdata=OlEmORH4Zq%2BOM1SJ%2FIdSFiYn8a2RNp2Hi%2Bva1gNKHtc%3D&amp;reserved=0"/>
    <hyperlink ref="E43" r:id="rId10" display="https://nam04.safelinks.protection.outlook.com/?url=https%3A%2F%2Fwisconsindpi.visualstudio.com%2Fd03023ea-9e63-4e4e-aa64-656b0167ed08%2F_workitems%2Fedit%2F243086&amp;data=05%7C02%7CVindhya.Jajavarapu%40dpi.wi.gov%7Cfe959cee0cbd4dc1ad9d08de9b6c44db%7C1654d14032604903b5b718450051ce16%7C1%7C0%7C639119086506888808%7CUnknown%7CTWFpbGZsb3d8eyJFbXB0eU1hcGkiOnRydWUsIlYiOiIwLjAuMDAwMCIsIlAiOiJXaW4zMiIsIkFOIjoiTWFpbCIsIldUIjoyfQ%3D%3D%7C0%7C%7C%7C&amp;sdata=Rl4gdbQ33M0dG99TgQtTBY4wZ1tDMSanIP4QI%2F5sFpQ%3D&amp;reserved=0"/>
    <hyperlink ref="E44" r:id="rId11" display="https://nam04.safelinks.protection.outlook.com/?url=https%3A%2F%2Fwisconsindpi.visualstudio.com%2Fd03023ea-9e63-4e4e-aa64-656b0167ed08%2F_workitems%2Fedit%2F242845&amp;data=05%7C02%7CVindhya.Jajavarapu%40dpi.wi.gov%7Cfe959cee0cbd4dc1ad9d08de9b6c44db%7C1654d14032604903b5b718450051ce16%7C1%7C0%7C639119086506928217%7CUnknown%7CTWFpbGZsb3d8eyJFbXB0eU1hcGkiOnRydWUsIlYiOiIwLjAuMDAwMCIsIlAiOiJXaW4zMiIsIkFOIjoiTWFpbCIsIldUIjoyfQ%3D%3D%7C0%7C%7C%7C&amp;sdata=T0wbgh2MozP06Z721I%2FTtXwF0lNOSTx%2BFzNxFmgFXbU%3D&amp;reserved=0"/>
    <hyperlink ref="E45" r:id="rId12" display="https://nam04.safelinks.protection.outlook.com/?url=https%3A%2F%2Fwisconsindpi.visualstudio.com%2Fd03023ea-9e63-4e4e-aa64-656b0167ed08%2F_workitems%2Fedit%2F242837&amp;data=05%7C02%7CVindhya.Jajavarapu%40dpi.wi.gov%7Cfe959cee0cbd4dc1ad9d08de9b6c44db%7C1654d14032604903b5b718450051ce16%7C1%7C0%7C639119086506968414%7CUnknown%7CTWFpbGZsb3d8eyJFbXB0eU1hcGkiOnRydWUsIlYiOiIwLjAuMDAwMCIsIlAiOiJXaW4zMiIsIkFOIjoiTWFpbCIsIldUIjoyfQ%3D%3D%7C0%7C%7C%7C&amp;sdata=4GfGdKJ06aRISF%2F5JaWNB7ibKnYNiUWPT%2BfGHcOripI%3D&amp;reserved=0"/>
    <hyperlink ref="E46" r:id="rId13" display="https://nam04.safelinks.protection.outlook.com/?url=https%3A%2F%2Fwisconsindpi.visualstudio.com%2Fd03023ea-9e63-4e4e-aa64-656b0167ed08%2F_workitems%2Fedit%2F242835&amp;data=05%7C02%7CVindhya.Jajavarapu%40dpi.wi.gov%7Cfe959cee0cbd4dc1ad9d08de9b6c44db%7C1654d14032604903b5b718450051ce16%7C1%7C0%7C639119086507011493%7CUnknown%7CTWFpbGZsb3d8eyJFbXB0eU1hcGkiOnRydWUsIlYiOiIwLjAuMDAwMCIsIlAiOiJXaW4zMiIsIkFOIjoiTWFpbCIsIldUIjoyfQ%3D%3D%7C0%7C%7C%7C&amp;sdata=rSS9xdOXzMSRykxgKBwUed1d79HdFJ2z7GGVg9ozjOQ%3D&amp;reserved=0"/>
    <hyperlink ref="E47" r:id="rId14" display="https://nam04.safelinks.protection.outlook.com/?url=https%3A%2F%2Fwisconsindpi.visualstudio.com%2Fd03023ea-9e63-4e4e-aa64-656b0167ed08%2F_workitems%2Fedit%2F242841&amp;data=05%7C02%7CVindhya.Jajavarapu%40dpi.wi.gov%7Cfe959cee0cbd4dc1ad9d08de9b6c44db%7C1654d14032604903b5b718450051ce16%7C1%7C0%7C639119086507057489%7CUnknown%7CTWFpbGZsb3d8eyJFbXB0eU1hcGkiOnRydWUsIlYiOiIwLjAuMDAwMCIsIlAiOiJXaW4zMiIsIkFOIjoiTWFpbCIsIldUIjoyfQ%3D%3D%7C0%7C%7C%7C&amp;sdata=gTt3CDq8g2a5fbr0L44SyEh1xe6QwwE%2F44hNKVrxEGk%3D&amp;reserved=0"/>
    <hyperlink ref="E48" r:id="rId15" display="https://nam04.safelinks.protection.outlook.com/?url=https%3A%2F%2Fwisconsindpi.visualstudio.com%2Fd03023ea-9e63-4e4e-aa64-656b0167ed08%2F_workitems%2Fedit%2F243074&amp;data=05%7C02%7CVindhya.Jajavarapu%40dpi.wi.gov%7Cfe959cee0cbd4dc1ad9d08de9b6c44db%7C1654d14032604903b5b718450051ce16%7C1%7C0%7C639119086507097918%7CUnknown%7CTWFpbGZsb3d8eyJFbXB0eU1hcGkiOnRydWUsIlYiOiIwLjAuMDAwMCIsIlAiOiJXaW4zMiIsIkFOIjoiTWFpbCIsIldUIjoyfQ%3D%3D%7C0%7C%7C%7C&amp;sdata=IUmFNQpuFdXuhqsG%2F8rAX57U%2FnoOTJ%2BAHL08V4UzPEQ%3D&amp;reserved=0"/>
    <hyperlink ref="E49" r:id="rId16" display="https://nam04.safelinks.protection.outlook.com/?url=https%3A%2F%2Fwisconsindpi.visualstudio.com%2Fd03023ea-9e63-4e4e-aa64-656b0167ed08%2F_workitems%2Fedit%2F242844&amp;data=05%7C02%7CVindhya.Jajavarapu%40dpi.wi.gov%7Cfe959cee0cbd4dc1ad9d08de9b6c44db%7C1654d14032604903b5b718450051ce16%7C1%7C0%7C639119086507160002%7CUnknown%7CTWFpbGZsb3d8eyJFbXB0eU1hcGkiOnRydWUsIlYiOiIwLjAuMDAwMCIsIlAiOiJXaW4zMiIsIkFOIjoiTWFpbCIsIldUIjoyfQ%3D%3D%7C0%7C%7C%7C&amp;sdata=vMgYXbcSb2ea5rnbQEXxfAVs8rNLSgkH227ly5XY%2BZ0%3D&amp;reserved=0"/>
    <hyperlink ref="E50" r:id="rId17" display="https://nam04.safelinks.protection.outlook.com/?url=https%3A%2F%2Fwisconsindpi.visualstudio.com%2Fd03023ea-9e63-4e4e-aa64-656b0167ed08%2F_workitems%2Fedit%2F242846&amp;data=05%7C02%7CVindhya.Jajavarapu%40dpi.wi.gov%7Cfe959cee0cbd4dc1ad9d08de9b6c44db%7C1654d14032604903b5b718450051ce16%7C1%7C0%7C639119086507215531%7CUnknown%7CTWFpbGZsb3d8eyJFbXB0eU1hcGkiOnRydWUsIlYiOiIwLjAuMDAwMCIsIlAiOiJXaW4zMiIsIkFOIjoiTWFpbCIsIldUIjoyfQ%3D%3D%7C0%7C%7C%7C&amp;sdata=IiEntG9zDm36%2FCGO827OkYZIyWIt5wI%2FU7DPLCYgn7c%3D&amp;reserved=0"/>
    <hyperlink ref="E51" r:id="rId18" display="https://nam04.safelinks.protection.outlook.com/?url=https%3A%2F%2Fwisconsindpi.visualstudio.com%2Fd03023ea-9e63-4e4e-aa64-656b0167ed08%2F_workitems%2Fedit%2F242836&amp;data=05%7C02%7CVindhya.Jajavarapu%40dpi.wi.gov%7Cfe959cee0cbd4dc1ad9d08de9b6c44db%7C1654d14032604903b5b718450051ce16%7C1%7C0%7C639119086507241693%7CUnknown%7CTWFpbGZsb3d8eyJFbXB0eU1hcGkiOnRydWUsIlYiOiIwLjAuMDAwMCIsIlAiOiJXaW4zMiIsIkFOIjoiTWFpbCIsIldUIjoyfQ%3D%3D%7C0%7C%7C%7C&amp;sdata=Ai1Zku%2Fsjb29b1ijDg019l%2FFAA%2FKDvS4dV%2B0cfJuInw%3D&amp;reserved=0"/>
    <hyperlink ref="E52" r:id="rId19" display="https://nam04.safelinks.protection.outlook.com/?url=https%3A%2F%2Fwisconsindpi.visualstudio.com%2Fd03023ea-9e63-4e4e-aa64-656b0167ed08%2F_workitems%2Fedit%2F242840&amp;data=05%7C02%7CVindhya.Jajavarapu%40dpi.wi.gov%7Cfe959cee0cbd4dc1ad9d08de9b6c44db%7C1654d14032604903b5b718450051ce16%7C1%7C0%7C639119086507255553%7CUnknown%7CTWFpbGZsb3d8eyJFbXB0eU1hcGkiOnRydWUsIlYiOiIwLjAuMDAwMCIsIlAiOiJXaW4zMiIsIkFOIjoiTWFpbCIsIldUIjoyfQ%3D%3D%7C0%7C%7C%7C&amp;sdata=KPZE6aCR7GZyBZOCECs8WXQXUye48nyGb%2BsvTtqSpZM%3D&amp;reserved=0"/>
    <hyperlink ref="E65" r:id="rId20" display="https://nam04.safelinks.protection.outlook.com/?url=https%3A%2F%2Fwisconsindpi.visualstudio.com%2Fd03023ea-9e63-4e4e-aa64-656b0167ed08%2F_workitems%2Fedit%2F242837&amp;data=05%7C02%7CVindhya.Jajavarapu%40dpi.wi.gov%7Cfe959cee0cbd4dc1ad9d08de9b6c44db%7C1654d14032604903b5b718450051ce16%7C1%7C0%7C639119086506968414%7CUnknown%7CTWFpbGZsb3d8eyJFbXB0eU1hcGkiOnRydWUsIlYiOiIwLjAuMDAwMCIsIlAiOiJXaW4zMiIsIkFOIjoiTWFpbCIsIldUIjoyfQ%3D%3D%7C0%7C%7C%7C&amp;sdata=4GfGdKJ06aRISF%2F5JaWNB7ibKnYNiUWPT%2BfGHcOripI%3D&amp;reserved=0"/>
    <hyperlink ref="E66" r:id="rId21" display="https://nam04.safelinks.protection.outlook.com/?url=https%3A%2F%2Fwisconsindpi.visualstudio.com%2Fd03023ea-9e63-4e4e-aa64-656b0167ed08%2F_workitems%2Fedit%2F242835&amp;data=05%7C02%7CVindhya.Jajavarapu%40dpi.wi.gov%7Cfe959cee0cbd4dc1ad9d08de9b6c44db%7C1654d14032604903b5b718450051ce16%7C1%7C0%7C639119086507011493%7CUnknown%7CTWFpbGZsb3d8eyJFbXB0eU1hcGkiOnRydWUsIlYiOiIwLjAuMDAwMCIsIlAiOiJXaW4zMiIsIkFOIjoiTWFpbCIsIldUIjoyfQ%3D%3D%7C0%7C%7C%7C&amp;sdata=rSS9xdOXzMSRykxgKBwUed1d79HdFJ2z7GGVg9ozjOQ%3D&amp;reserved=0"/>
    <hyperlink ref="E67" r:id="rId22" display="https://nam04.safelinks.protection.outlook.com/?url=https%3A%2F%2Fwisconsindpi.visualstudio.com%2Fd03023ea-9e63-4e4e-aa64-656b0167ed08%2F_workitems%2Fedit%2F243074&amp;data=05%7C02%7CVindhya.Jajavarapu%40dpi.wi.gov%7Cfe959cee0cbd4dc1ad9d08de9b6c44db%7C1654d14032604903b5b718450051ce16%7C1%7C0%7C639119086507097918%7CUnknown%7CTWFpbGZsb3d8eyJFbXB0eU1hcGkiOnRydWUsIlYiOiIwLjAuMDAwMCIsIlAiOiJXaW4zMiIsIkFOIjoiTWFpbCIsIldUIjoyfQ%3D%3D%7C0%7C%7C%7C&amp;sdata=IUmFNQpuFdXuhqsG%2F8rAX57U%2FnoOTJ%2BAHL08V4UzPEQ%3D&amp;reserved=0"/>
    <hyperlink ref="E68" r:id="rId23" display="https://nam04.safelinks.protection.outlook.com/?url=https%3A%2F%2Fwisconsindpi.visualstudio.com%2Fd03023ea-9e63-4e4e-aa64-656b0167ed08%2F_workitems%2Fedit%2F242836&amp;data=05%7C02%7CVindhya.Jajavarapu%40dpi.wi.gov%7Cfe959cee0cbd4dc1ad9d08de9b6c44db%7C1654d14032604903b5b718450051ce16%7C1%7C0%7C639119086507241693%7CUnknown%7CTWFpbGZsb3d8eyJFbXB0eU1hcGkiOnRydWUsIlYiOiIwLjAuMDAwMCIsIlAiOiJXaW4zMiIsIkFOIjoiTWFpbCIsIldUIjoyfQ%3D%3D%7C0%7C%7C%7C&amp;sdata=Ai1Zku%2Fsjb29b1ijDg019l%2FFAA%2FKDvS4dV%2B0cfJuInw%3D&amp;reserved=0"/>
    <hyperlink ref="E80" r:id="rId24"/>
    <hyperlink ref="E81" r:id="rId25"/>
    <hyperlink ref="E82" r:id="rId26"/>
    <hyperlink ref="E83" r:id="rId27"/>
    <hyperlink ref="E59" r:id="rId28"/>
    <hyperlink ref="E60" r:id="rId29"/>
    <hyperlink ref="E58" r:id="rId30"/>
    <hyperlink ref="E61" r:id="rId31" display="USERSTORY240884"/>
    <hyperlink ref="E84:F84" r:id="rId32" display="USERSTORY240529"/>
    <hyperlink ref="E85:F85" r:id="rId33" display="USERSTORY240530"/>
    <hyperlink ref="E84" r:id="rId34"/>
    <hyperlink ref="E85" r:id="rId35"/>
    <hyperlink ref="E86" r:id="rId36"/>
    <hyperlink ref="E86:F86" r:id="rId37" display="USERSTORY240884"/>
  </hyperlinks>
  <pageMargins left="0.7" right="0.7" top="0.75" bottom="0.75" header="0.3" footer="0.3"/>
  <drawing r:id="rId38"/>
  <legacyDrawing r:id="rId39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42"/>
  <sheetViews>
    <sheetView tabSelected="1" zoomScale="90" zoomScaleNormal="90" workbookViewId="0">
      <pane xSplit="3" ySplit="18" topLeftCell="D63" activePane="bottomRight" state="frozen"/>
      <selection pane="topRight" activeCell="C1" sqref="C1"/>
      <selection pane="bottomLeft" activeCell="A20" sqref="A20"/>
      <selection pane="bottomRight" activeCell="F67" sqref="A66:J67"/>
    </sheetView>
  </sheetViews>
  <sheetFormatPr defaultColWidth="8.7265625" defaultRowHeight="14.5"/>
  <cols>
    <col min="1" max="1" width="8.7265625" style="10"/>
    <col min="2" max="2" width="12.1796875" style="1" customWidth="1"/>
    <col min="3" max="3" width="29" style="1" customWidth="1"/>
    <col min="4" max="4" width="4.1796875" style="1" customWidth="1"/>
    <col min="5" max="5" width="25.54296875" style="1" customWidth="1"/>
    <col min="6" max="6" width="23.453125" style="1" customWidth="1"/>
    <col min="7" max="7" width="22.7265625" style="1" customWidth="1"/>
    <col min="8" max="8" width="19.54296875" style="1" customWidth="1"/>
    <col min="9" max="9" width="16.81640625" style="1" customWidth="1"/>
    <col min="10" max="10" width="68.54296875" style="1" customWidth="1"/>
    <col min="11" max="16384" width="8.7265625" style="1"/>
  </cols>
  <sheetData>
    <row r="1" spans="1:15">
      <c r="E1" s="2"/>
      <c r="F1" s="2"/>
      <c r="G1" s="2"/>
      <c r="H1" s="2"/>
      <c r="I1" s="2"/>
      <c r="J1" s="2"/>
    </row>
    <row r="2" spans="1:15" ht="15" thickBot="1">
      <c r="E2" s="11"/>
      <c r="F2" s="12"/>
      <c r="G2" s="12"/>
      <c r="H2" s="12"/>
      <c r="I2" s="12"/>
      <c r="J2" s="13"/>
    </row>
    <row r="3" spans="1:15" ht="31" customHeight="1" thickBot="1">
      <c r="A3" s="27"/>
      <c r="B3" s="26"/>
      <c r="C3" s="26"/>
      <c r="E3" s="259" t="s">
        <v>241</v>
      </c>
      <c r="F3" s="260"/>
      <c r="G3" s="260"/>
      <c r="H3" s="260"/>
      <c r="I3" s="260"/>
      <c r="J3" s="261"/>
    </row>
    <row r="4" spans="1:15" ht="21.5" thickBot="1">
      <c r="A4" s="262" t="s">
        <v>0</v>
      </c>
      <c r="B4" s="263"/>
      <c r="C4" s="264"/>
      <c r="E4" s="222" t="s">
        <v>248</v>
      </c>
      <c r="F4" s="223"/>
      <c r="G4" s="223"/>
      <c r="H4" s="223"/>
      <c r="I4" s="223"/>
      <c r="J4" s="224"/>
    </row>
    <row r="5" spans="1:15" ht="16" thickBot="1">
      <c r="A5" s="33" t="s">
        <v>1</v>
      </c>
      <c r="B5" s="34" t="s">
        <v>2</v>
      </c>
      <c r="C5" s="34" t="s">
        <v>3</v>
      </c>
      <c r="D5" s="14"/>
      <c r="E5" s="3" t="s">
        <v>4</v>
      </c>
      <c r="F5" s="265" t="s">
        <v>143</v>
      </c>
      <c r="G5" s="249"/>
      <c r="H5" s="249"/>
      <c r="I5" s="249"/>
      <c r="J5" s="250"/>
    </row>
    <row r="6" spans="1:15" ht="15" thickBot="1">
      <c r="A6" s="28" t="s">
        <v>5</v>
      </c>
      <c r="B6" s="17" t="s">
        <v>6</v>
      </c>
      <c r="C6" s="18" t="s">
        <v>7</v>
      </c>
      <c r="D6" s="15"/>
      <c r="E6" s="3" t="s">
        <v>8</v>
      </c>
      <c r="F6" s="298">
        <v>202511042</v>
      </c>
      <c r="G6" s="249"/>
      <c r="H6" s="249"/>
      <c r="I6" s="249"/>
      <c r="J6" s="250"/>
    </row>
    <row r="7" spans="1:15" ht="15" thickBot="1">
      <c r="A7" s="28" t="s">
        <v>5</v>
      </c>
      <c r="B7" s="17" t="s">
        <v>6</v>
      </c>
      <c r="C7" s="19" t="s">
        <v>9</v>
      </c>
      <c r="D7" s="14"/>
      <c r="E7" s="3" t="s">
        <v>10</v>
      </c>
      <c r="F7" s="255" t="s">
        <v>159</v>
      </c>
      <c r="G7" s="299"/>
      <c r="H7" s="299"/>
      <c r="I7" s="299"/>
      <c r="J7" s="300"/>
    </row>
    <row r="8" spans="1:15" ht="15" thickBot="1">
      <c r="A8" s="28" t="s">
        <v>11</v>
      </c>
      <c r="B8" s="17" t="s">
        <v>6</v>
      </c>
      <c r="C8" s="19" t="s">
        <v>12</v>
      </c>
      <c r="D8" s="14"/>
      <c r="E8" s="3" t="s">
        <v>13</v>
      </c>
      <c r="F8" s="248" t="s">
        <v>144</v>
      </c>
      <c r="G8" s="249"/>
      <c r="H8" s="249"/>
      <c r="I8" s="249"/>
      <c r="J8" s="250"/>
    </row>
    <row r="9" spans="1:15" ht="17" thickBot="1">
      <c r="A9" s="28" t="s">
        <v>5</v>
      </c>
      <c r="B9" s="17" t="s">
        <v>14</v>
      </c>
      <c r="C9" s="19" t="s">
        <v>15</v>
      </c>
      <c r="D9" s="14"/>
      <c r="E9" s="3" t="s">
        <v>16</v>
      </c>
      <c r="F9" s="255" t="s">
        <v>145</v>
      </c>
      <c r="G9" s="249"/>
      <c r="H9" s="249"/>
      <c r="I9" s="249"/>
      <c r="J9" s="250"/>
      <c r="O9" s="24"/>
    </row>
    <row r="10" spans="1:15" ht="15" thickBot="1">
      <c r="A10" s="28" t="s">
        <v>5</v>
      </c>
      <c r="B10" s="17" t="s">
        <v>14</v>
      </c>
      <c r="C10" s="19" t="s">
        <v>17</v>
      </c>
      <c r="D10" s="14"/>
      <c r="E10" s="3" t="s">
        <v>18</v>
      </c>
      <c r="F10" s="255" t="s">
        <v>146</v>
      </c>
      <c r="G10" s="249"/>
      <c r="H10" s="249"/>
      <c r="I10" s="249"/>
      <c r="J10" s="250"/>
    </row>
    <row r="11" spans="1:15" ht="15" thickBot="1">
      <c r="A11" s="28" t="s">
        <v>5</v>
      </c>
      <c r="B11" s="3" t="s">
        <v>14</v>
      </c>
      <c r="C11" s="20" t="s">
        <v>19</v>
      </c>
      <c r="E11" s="3" t="s">
        <v>20</v>
      </c>
      <c r="F11" s="295" t="s">
        <v>147</v>
      </c>
      <c r="G11" s="296"/>
      <c r="H11" s="296"/>
      <c r="I11" s="296"/>
      <c r="J11" s="297"/>
    </row>
    <row r="12" spans="1:15" ht="16" thickBot="1">
      <c r="A12" s="256" t="s">
        <v>21</v>
      </c>
      <c r="B12" s="257"/>
      <c r="C12" s="258"/>
      <c r="D12" s="14"/>
      <c r="E12" s="3" t="s">
        <v>22</v>
      </c>
      <c r="F12" s="295" t="s">
        <v>148</v>
      </c>
      <c r="G12" s="296"/>
      <c r="H12" s="296"/>
      <c r="I12" s="296"/>
      <c r="J12" s="297"/>
    </row>
    <row r="13" spans="1:15" ht="15.75" customHeight="1" thickBot="1">
      <c r="A13" s="231" t="s">
        <v>23</v>
      </c>
      <c r="B13" s="232"/>
      <c r="C13" s="233"/>
      <c r="D13" s="14"/>
      <c r="E13" s="3" t="s">
        <v>24</v>
      </c>
      <c r="F13" s="234" t="s">
        <v>25</v>
      </c>
      <c r="G13" s="235"/>
      <c r="H13" s="235"/>
      <c r="I13" s="235"/>
      <c r="J13" s="236"/>
    </row>
    <row r="14" spans="1:15" ht="15.75" customHeight="1" thickBot="1">
      <c r="A14" s="237" t="str">
        <f>VLOOKUP(A13,H2019:I2026,2,FALSE)</f>
        <v>Status help screen</v>
      </c>
      <c r="B14" s="238"/>
      <c r="C14" s="239"/>
      <c r="D14" s="14"/>
      <c r="E14" s="222" t="s">
        <v>26</v>
      </c>
      <c r="F14" s="223"/>
      <c r="G14" s="223"/>
      <c r="H14" s="223"/>
      <c r="I14" s="223"/>
      <c r="J14" s="224"/>
    </row>
    <row r="15" spans="1:15" ht="15" thickBot="1">
      <c r="A15" s="240"/>
      <c r="B15" s="241"/>
      <c r="C15" s="242"/>
      <c r="D15" s="14"/>
      <c r="E15" s="3"/>
      <c r="F15" s="4" t="s">
        <v>27</v>
      </c>
      <c r="G15" s="4" t="s">
        <v>28</v>
      </c>
      <c r="H15" s="4" t="s">
        <v>29</v>
      </c>
      <c r="I15" s="4" t="s">
        <v>30</v>
      </c>
      <c r="J15" s="4" t="s">
        <v>2</v>
      </c>
      <c r="K15" s="14"/>
    </row>
    <row r="16" spans="1:15" ht="15" thickBot="1">
      <c r="A16" s="240"/>
      <c r="B16" s="241"/>
      <c r="C16" s="242"/>
      <c r="D16" s="14"/>
      <c r="E16" s="3" t="s">
        <v>31</v>
      </c>
      <c r="F16" s="114" t="s">
        <v>150</v>
      </c>
      <c r="G16" s="114" t="s">
        <v>32</v>
      </c>
      <c r="H16" s="114" t="s">
        <v>150</v>
      </c>
      <c r="I16" s="114" t="s">
        <v>32</v>
      </c>
      <c r="J16" s="115" t="s">
        <v>34</v>
      </c>
      <c r="K16" s="14"/>
    </row>
    <row r="17" spans="1:14" ht="15" thickBot="1">
      <c r="A17" s="240"/>
      <c r="B17" s="241"/>
      <c r="C17" s="242"/>
      <c r="D17" s="14"/>
      <c r="E17" s="3" t="s">
        <v>35</v>
      </c>
      <c r="F17" s="114" t="s">
        <v>149</v>
      </c>
      <c r="G17" s="114" t="s">
        <v>151</v>
      </c>
      <c r="H17" s="114" t="s">
        <v>149</v>
      </c>
      <c r="I17" s="114" t="s">
        <v>151</v>
      </c>
      <c r="J17" s="115" t="s">
        <v>34</v>
      </c>
      <c r="K17" s="14"/>
    </row>
    <row r="18" spans="1:14" ht="15" thickBot="1">
      <c r="A18" s="243"/>
      <c r="B18" s="244"/>
      <c r="C18" s="245"/>
      <c r="D18" s="14"/>
      <c r="E18" s="3" t="s">
        <v>37</v>
      </c>
      <c r="F18" s="114" t="s">
        <v>152</v>
      </c>
      <c r="G18" s="114" t="s">
        <v>153</v>
      </c>
      <c r="H18" s="114" t="s">
        <v>152</v>
      </c>
      <c r="I18" s="114" t="s">
        <v>153</v>
      </c>
      <c r="J18" s="115" t="s">
        <v>34</v>
      </c>
    </row>
    <row r="19" spans="1:14" ht="15" thickBot="1">
      <c r="A19" s="30"/>
      <c r="B19" s="31"/>
      <c r="C19" s="32"/>
      <c r="D19" s="14"/>
      <c r="E19" s="222" t="s">
        <v>39</v>
      </c>
      <c r="F19" s="223"/>
      <c r="G19" s="223"/>
      <c r="H19" s="223"/>
      <c r="I19" s="223"/>
      <c r="J19" s="224"/>
    </row>
    <row r="20" spans="1:14" ht="15" thickBot="1">
      <c r="A20" s="29"/>
      <c r="B20" s="16"/>
      <c r="C20" s="16"/>
      <c r="E20" s="3"/>
      <c r="F20" s="4" t="s">
        <v>27</v>
      </c>
      <c r="G20" s="4" t="s">
        <v>28</v>
      </c>
      <c r="H20" s="4" t="s">
        <v>29</v>
      </c>
      <c r="I20" s="4" t="s">
        <v>30</v>
      </c>
      <c r="J20" s="4" t="s">
        <v>2</v>
      </c>
    </row>
    <row r="21" spans="1:14" ht="44" thickBot="1">
      <c r="E21" s="38" t="s">
        <v>40</v>
      </c>
      <c r="F21" s="116" t="s">
        <v>150</v>
      </c>
      <c r="G21" s="116" t="s">
        <v>32</v>
      </c>
      <c r="H21" s="116" t="s">
        <v>32</v>
      </c>
      <c r="I21" s="116" t="s">
        <v>33</v>
      </c>
      <c r="J21" s="116" t="s">
        <v>41</v>
      </c>
    </row>
    <row r="22" spans="1:14" ht="58.5" thickBot="1">
      <c r="E22" s="38" t="s">
        <v>42</v>
      </c>
      <c r="F22" s="116" t="s">
        <v>150</v>
      </c>
      <c r="G22" s="116" t="s">
        <v>43</v>
      </c>
      <c r="H22" s="116" t="s">
        <v>43</v>
      </c>
      <c r="I22" s="116" t="s">
        <v>43</v>
      </c>
      <c r="J22" s="116" t="s">
        <v>41</v>
      </c>
      <c r="N22" s="1" t="str">
        <f>IF(C13="Dropdown here for Status Description","Status help screen",IF(C13="IN PROGRESS","Tasks are worked upon and the team is working towards the target date but does not have estimated time of completion and cannot forecast any issues in the project",IF(C13="COMPLETE","Work on the project has finished, and all deliverables/tasks have been completed",IF(C13="ON TRACK","Tasks are worked upon and the team is working towards the target date and is on time to meet the schedule",IF(C13="OVERDUE"," task that is past their given timeline to complete.",IF(C13="NOT STARTED",A14="Efforts that are not started",IF(C13="ON HOLD","The project has not finished, and work on the project has been temporarily suspended.",IF(C13="CANCELLED","The project has not finished, and work on the project will not continue.",""))))))))</f>
        <v/>
      </c>
    </row>
    <row r="23" spans="1:14" ht="73" thickBot="1">
      <c r="E23" s="38" t="s">
        <v>155</v>
      </c>
      <c r="F23" s="116" t="s">
        <v>156</v>
      </c>
      <c r="G23" s="116" t="s">
        <v>43</v>
      </c>
      <c r="H23" s="116" t="s">
        <v>156</v>
      </c>
      <c r="I23" s="116" t="s">
        <v>33</v>
      </c>
      <c r="J23" s="116" t="s">
        <v>41</v>
      </c>
    </row>
    <row r="24" spans="1:14" ht="73" thickBot="1">
      <c r="E24" s="46" t="s">
        <v>154</v>
      </c>
      <c r="F24" s="116" t="s">
        <v>149</v>
      </c>
      <c r="G24" s="116" t="s">
        <v>158</v>
      </c>
      <c r="H24" s="116" t="s">
        <v>149</v>
      </c>
      <c r="I24" s="116" t="s">
        <v>36</v>
      </c>
      <c r="J24" s="116" t="s">
        <v>41</v>
      </c>
    </row>
    <row r="25" spans="1:14" ht="58.5" thickBot="1">
      <c r="E25" s="47" t="s">
        <v>121</v>
      </c>
      <c r="F25" s="116" t="s">
        <v>157</v>
      </c>
      <c r="G25" s="116" t="s">
        <v>36</v>
      </c>
      <c r="H25" s="116" t="s">
        <v>157</v>
      </c>
      <c r="I25" s="116" t="s">
        <v>36</v>
      </c>
      <c r="J25" s="116" t="s">
        <v>41</v>
      </c>
    </row>
    <row r="26" spans="1:14" ht="15" thickBot="1">
      <c r="E26" s="47" t="s">
        <v>130</v>
      </c>
      <c r="F26" s="114" t="s">
        <v>152</v>
      </c>
      <c r="G26" s="114" t="s">
        <v>153</v>
      </c>
      <c r="H26" s="114" t="s">
        <v>152</v>
      </c>
      <c r="I26" s="116" t="s">
        <v>252</v>
      </c>
      <c r="J26" s="116" t="s">
        <v>41</v>
      </c>
    </row>
    <row r="27" spans="1:14" ht="15" thickBot="1">
      <c r="E27" s="47"/>
      <c r="F27" s="3"/>
      <c r="G27" s="3"/>
      <c r="H27" s="3"/>
      <c r="I27" s="3"/>
      <c r="J27" s="3"/>
    </row>
    <row r="28" spans="1:14" s="8" customFormat="1" ht="15" thickBot="1">
      <c r="A28" s="10"/>
      <c r="B28" s="1"/>
      <c r="C28" s="1"/>
      <c r="E28" s="222" t="s">
        <v>45</v>
      </c>
      <c r="F28" s="223"/>
      <c r="G28" s="223"/>
      <c r="H28" s="223"/>
      <c r="I28" s="223"/>
      <c r="J28" s="224"/>
    </row>
    <row r="29" spans="1:14" ht="15" thickBot="1">
      <c r="B29" s="8"/>
      <c r="C29" s="8"/>
      <c r="E29" s="41" t="s">
        <v>46</v>
      </c>
      <c r="F29" s="220" t="s">
        <v>47</v>
      </c>
      <c r="G29" s="220"/>
      <c r="H29" s="220"/>
      <c r="I29" s="7" t="s">
        <v>48</v>
      </c>
      <c r="J29" s="9" t="s">
        <v>49</v>
      </c>
    </row>
    <row r="30" spans="1:14" ht="15" thickBot="1">
      <c r="D30" s="40"/>
      <c r="E30" s="51"/>
      <c r="F30" s="246"/>
      <c r="G30" s="221"/>
      <c r="H30" s="221"/>
      <c r="I30" s="39"/>
      <c r="J30" s="4"/>
    </row>
    <row r="31" spans="1:14" ht="15" thickBot="1">
      <c r="E31" s="42"/>
      <c r="F31" s="247"/>
      <c r="G31" s="221"/>
      <c r="H31" s="221"/>
      <c r="I31" s="39"/>
      <c r="J31" s="4"/>
    </row>
    <row r="32" spans="1:14" ht="15" thickBot="1">
      <c r="E32" s="6"/>
      <c r="F32" s="221"/>
      <c r="G32" s="221"/>
      <c r="H32" s="221"/>
      <c r="I32" s="5"/>
      <c r="J32" s="5"/>
    </row>
    <row r="33" spans="2:11" ht="15" thickBot="1">
      <c r="E33" s="6"/>
      <c r="F33" s="221"/>
      <c r="G33" s="221"/>
      <c r="H33" s="221"/>
      <c r="I33" s="5"/>
      <c r="J33" s="5"/>
    </row>
    <row r="34" spans="2:11" s="10" customFormat="1" ht="15" thickBot="1">
      <c r="B34" s="1"/>
      <c r="C34" s="1"/>
      <c r="E34" s="222" t="s">
        <v>54</v>
      </c>
      <c r="F34" s="223"/>
      <c r="G34" s="223"/>
      <c r="H34" s="223"/>
      <c r="I34" s="223"/>
      <c r="J34" s="224"/>
    </row>
    <row r="35" spans="2:11" ht="15" thickBot="1">
      <c r="B35" s="10"/>
      <c r="C35" s="10"/>
      <c r="E35" s="7" t="s">
        <v>46</v>
      </c>
      <c r="F35" s="219" t="s">
        <v>55</v>
      </c>
      <c r="G35" s="220"/>
      <c r="H35" s="220"/>
      <c r="I35" s="7" t="s">
        <v>56</v>
      </c>
      <c r="J35" s="9" t="s">
        <v>57</v>
      </c>
    </row>
    <row r="36" spans="2:11" ht="15" thickBot="1">
      <c r="E36" s="6"/>
      <c r="F36" s="221"/>
      <c r="G36" s="221"/>
      <c r="H36" s="221"/>
      <c r="I36" s="5"/>
      <c r="J36" s="5"/>
    </row>
    <row r="37" spans="2:11" ht="15" thickBot="1">
      <c r="E37" s="6"/>
      <c r="F37" s="221"/>
      <c r="G37" s="221"/>
      <c r="H37" s="221"/>
      <c r="I37" s="5"/>
      <c r="J37" s="5"/>
    </row>
    <row r="38" spans="2:11" ht="15" thickBot="1">
      <c r="E38" s="6"/>
      <c r="F38" s="221"/>
      <c r="G38" s="221"/>
      <c r="H38" s="221"/>
      <c r="I38" s="5"/>
      <c r="J38" s="5"/>
    </row>
    <row r="39" spans="2:11" ht="15" thickBot="1">
      <c r="E39" s="222" t="s">
        <v>260</v>
      </c>
      <c r="F39" s="223"/>
      <c r="G39" s="223"/>
      <c r="H39" s="223"/>
      <c r="I39" s="223"/>
      <c r="J39" s="224"/>
    </row>
    <row r="40" spans="2:11" ht="15" thickBot="1">
      <c r="D40" s="40"/>
      <c r="E40" s="5" t="s">
        <v>58</v>
      </c>
      <c r="F40" s="225"/>
      <c r="G40" s="226"/>
      <c r="H40" s="226"/>
      <c r="I40" s="226"/>
      <c r="J40" s="227"/>
      <c r="K40" s="14"/>
    </row>
    <row r="41" spans="2:11">
      <c r="D41" s="40"/>
      <c r="E41" s="138" t="s">
        <v>216</v>
      </c>
      <c r="F41" s="292" t="s">
        <v>202</v>
      </c>
      <c r="G41" s="293" t="s">
        <v>202</v>
      </c>
      <c r="H41" s="293" t="s">
        <v>202</v>
      </c>
      <c r="I41" s="293" t="s">
        <v>202</v>
      </c>
      <c r="J41" s="294" t="s">
        <v>202</v>
      </c>
      <c r="K41" s="14"/>
    </row>
    <row r="42" spans="2:11">
      <c r="D42" s="40"/>
      <c r="E42" s="138" t="s">
        <v>217</v>
      </c>
      <c r="F42" s="283" t="s">
        <v>203</v>
      </c>
      <c r="G42" s="284" t="s">
        <v>203</v>
      </c>
      <c r="H42" s="284" t="s">
        <v>203</v>
      </c>
      <c r="I42" s="284" t="s">
        <v>203</v>
      </c>
      <c r="J42" s="285" t="s">
        <v>203</v>
      </c>
      <c r="K42" s="14"/>
    </row>
    <row r="43" spans="2:11">
      <c r="D43" s="40"/>
      <c r="E43" s="138" t="s">
        <v>218</v>
      </c>
      <c r="F43" s="283" t="s">
        <v>204</v>
      </c>
      <c r="G43" s="284" t="s">
        <v>204</v>
      </c>
      <c r="H43" s="284" t="s">
        <v>204</v>
      </c>
      <c r="I43" s="284" t="s">
        <v>204</v>
      </c>
      <c r="J43" s="285" t="s">
        <v>204</v>
      </c>
      <c r="K43" s="14"/>
    </row>
    <row r="44" spans="2:11">
      <c r="D44" s="40"/>
      <c r="E44" s="138" t="s">
        <v>219</v>
      </c>
      <c r="F44" s="283" t="s">
        <v>205</v>
      </c>
      <c r="G44" s="284" t="s">
        <v>205</v>
      </c>
      <c r="H44" s="284" t="s">
        <v>205</v>
      </c>
      <c r="I44" s="284" t="s">
        <v>205</v>
      </c>
      <c r="J44" s="285" t="s">
        <v>205</v>
      </c>
      <c r="K44" s="14"/>
    </row>
    <row r="45" spans="2:11">
      <c r="D45" s="40"/>
      <c r="E45" s="138" t="s">
        <v>220</v>
      </c>
      <c r="F45" s="289" t="s">
        <v>206</v>
      </c>
      <c r="G45" s="290" t="s">
        <v>206</v>
      </c>
      <c r="H45" s="290" t="s">
        <v>206</v>
      </c>
      <c r="I45" s="290" t="s">
        <v>206</v>
      </c>
      <c r="J45" s="291" t="s">
        <v>206</v>
      </c>
      <c r="K45" s="14"/>
    </row>
    <row r="46" spans="2:11">
      <c r="D46" s="40"/>
      <c r="E46" s="138" t="s">
        <v>215</v>
      </c>
      <c r="F46" s="289" t="s">
        <v>180</v>
      </c>
      <c r="G46" s="290" t="s">
        <v>180</v>
      </c>
      <c r="H46" s="290" t="s">
        <v>180</v>
      </c>
      <c r="I46" s="290" t="s">
        <v>180</v>
      </c>
      <c r="J46" s="291" t="s">
        <v>180</v>
      </c>
      <c r="K46" s="14"/>
    </row>
    <row r="47" spans="2:11">
      <c r="D47" s="40"/>
      <c r="E47" s="138" t="s">
        <v>221</v>
      </c>
      <c r="F47" s="283" t="s">
        <v>207</v>
      </c>
      <c r="G47" s="284" t="s">
        <v>207</v>
      </c>
      <c r="H47" s="284" t="s">
        <v>207</v>
      </c>
      <c r="I47" s="284" t="s">
        <v>207</v>
      </c>
      <c r="J47" s="285" t="s">
        <v>207</v>
      </c>
      <c r="K47" s="14"/>
    </row>
    <row r="48" spans="2:11">
      <c r="D48" s="40"/>
      <c r="E48" s="138" t="s">
        <v>222</v>
      </c>
      <c r="F48" s="289" t="s">
        <v>208</v>
      </c>
      <c r="G48" s="290" t="s">
        <v>208</v>
      </c>
      <c r="H48" s="290" t="s">
        <v>208</v>
      </c>
      <c r="I48" s="290" t="s">
        <v>208</v>
      </c>
      <c r="J48" s="291" t="s">
        <v>208</v>
      </c>
      <c r="K48" s="14"/>
    </row>
    <row r="49" spans="4:11">
      <c r="D49" s="40"/>
      <c r="E49" s="138" t="s">
        <v>223</v>
      </c>
      <c r="F49" s="283" t="s">
        <v>209</v>
      </c>
      <c r="G49" s="284" t="s">
        <v>209</v>
      </c>
      <c r="H49" s="284" t="s">
        <v>209</v>
      </c>
      <c r="I49" s="284" t="s">
        <v>209</v>
      </c>
      <c r="J49" s="285" t="s">
        <v>209</v>
      </c>
      <c r="K49" s="14"/>
    </row>
    <row r="50" spans="4:11">
      <c r="D50" s="40"/>
      <c r="E50" s="138" t="s">
        <v>224</v>
      </c>
      <c r="F50" s="283" t="s">
        <v>210</v>
      </c>
      <c r="G50" s="284" t="s">
        <v>210</v>
      </c>
      <c r="H50" s="284" t="s">
        <v>210</v>
      </c>
      <c r="I50" s="284" t="s">
        <v>210</v>
      </c>
      <c r="J50" s="285" t="s">
        <v>210</v>
      </c>
      <c r="K50" s="14"/>
    </row>
    <row r="51" spans="4:11">
      <c r="D51" s="40"/>
      <c r="E51" s="138" t="s">
        <v>225</v>
      </c>
      <c r="F51" s="289" t="s">
        <v>211</v>
      </c>
      <c r="G51" s="290" t="s">
        <v>211</v>
      </c>
      <c r="H51" s="290" t="s">
        <v>211</v>
      </c>
      <c r="I51" s="290" t="s">
        <v>211</v>
      </c>
      <c r="J51" s="291" t="s">
        <v>211</v>
      </c>
      <c r="K51" s="14"/>
    </row>
    <row r="52" spans="4:11" ht="15" thickBot="1">
      <c r="D52" s="40"/>
      <c r="E52" s="139" t="s">
        <v>226</v>
      </c>
      <c r="F52" s="301" t="s">
        <v>212</v>
      </c>
      <c r="G52" s="302" t="s">
        <v>212</v>
      </c>
      <c r="H52" s="302" t="s">
        <v>212</v>
      </c>
      <c r="I52" s="302" t="s">
        <v>212</v>
      </c>
      <c r="J52" s="303" t="s">
        <v>212</v>
      </c>
      <c r="K52" s="14"/>
    </row>
    <row r="53" spans="4:11" ht="15" thickBot="1">
      <c r="D53" s="40"/>
      <c r="E53" s="62"/>
      <c r="F53" s="211"/>
      <c r="G53" s="211"/>
      <c r="H53" s="211"/>
      <c r="I53" s="211"/>
      <c r="J53" s="212"/>
    </row>
    <row r="54" spans="4:11">
      <c r="D54" s="40"/>
      <c r="E54" s="213" t="s">
        <v>253</v>
      </c>
      <c r="F54" s="214"/>
      <c r="G54" s="214"/>
      <c r="H54" s="214"/>
      <c r="I54" s="214"/>
      <c r="J54" s="215"/>
    </row>
    <row r="55" spans="4:11">
      <c r="D55" s="40"/>
      <c r="E55" s="49" t="s">
        <v>58</v>
      </c>
      <c r="F55" s="216"/>
      <c r="G55" s="217"/>
      <c r="H55" s="217"/>
      <c r="I55" s="217"/>
      <c r="J55" s="218"/>
      <c r="K55" s="14"/>
    </row>
    <row r="56" spans="4:11">
      <c r="D56" s="40"/>
      <c r="E56" s="49"/>
      <c r="F56" s="198" t="s">
        <v>255</v>
      </c>
      <c r="G56" s="202"/>
      <c r="H56" s="202"/>
      <c r="I56" s="202"/>
      <c r="J56" s="203"/>
      <c r="K56" s="14"/>
    </row>
    <row r="57" spans="4:11">
      <c r="D57" s="40"/>
      <c r="E57" s="61"/>
      <c r="F57" s="201"/>
      <c r="G57" s="202"/>
      <c r="H57" s="202"/>
      <c r="I57" s="202"/>
      <c r="J57" s="203"/>
      <c r="K57" s="14"/>
    </row>
    <row r="58" spans="4:11">
      <c r="D58" s="40"/>
      <c r="E58" s="153" t="s">
        <v>272</v>
      </c>
      <c r="F58" s="307" t="s">
        <v>265</v>
      </c>
      <c r="G58" s="308"/>
      <c r="H58" s="308"/>
      <c r="I58" s="308"/>
      <c r="J58" s="309"/>
      <c r="K58" s="14"/>
    </row>
    <row r="59" spans="4:11">
      <c r="D59" s="40"/>
      <c r="E59" s="153" t="s">
        <v>269</v>
      </c>
      <c r="F59" s="280" t="s">
        <v>266</v>
      </c>
      <c r="G59" s="281"/>
      <c r="H59" s="281"/>
      <c r="I59" s="281"/>
      <c r="J59" s="282"/>
      <c r="K59" s="14"/>
    </row>
    <row r="60" spans="4:11">
      <c r="D60" s="40"/>
      <c r="E60" s="153" t="s">
        <v>270</v>
      </c>
      <c r="F60" s="280" t="s">
        <v>267</v>
      </c>
      <c r="G60" s="281"/>
      <c r="H60" s="281"/>
      <c r="I60" s="281"/>
      <c r="J60" s="282"/>
      <c r="K60" s="14"/>
    </row>
    <row r="61" spans="4:11" ht="15" thickBot="1">
      <c r="D61" s="40"/>
      <c r="E61" s="154" t="s">
        <v>271</v>
      </c>
      <c r="F61" s="280" t="s">
        <v>268</v>
      </c>
      <c r="G61" s="281"/>
      <c r="H61" s="281"/>
      <c r="I61" s="281"/>
      <c r="J61" s="282"/>
      <c r="K61" s="14"/>
    </row>
    <row r="62" spans="4:11" ht="15" thickBot="1">
      <c r="D62" s="40"/>
      <c r="E62" s="154" t="s">
        <v>225</v>
      </c>
      <c r="F62" s="280" t="s">
        <v>211</v>
      </c>
      <c r="G62" s="281"/>
      <c r="H62" s="281"/>
      <c r="I62" s="281"/>
      <c r="J62" s="282"/>
      <c r="K62" s="14"/>
    </row>
    <row r="63" spans="4:11">
      <c r="D63" s="40"/>
      <c r="E63" s="142"/>
      <c r="F63" s="135"/>
      <c r="G63" s="136"/>
      <c r="H63" s="136"/>
      <c r="I63" s="136"/>
      <c r="J63" s="137"/>
      <c r="K63" s="14"/>
    </row>
    <row r="64" spans="4:11">
      <c r="D64" s="40"/>
      <c r="E64" s="172"/>
      <c r="F64" s="304" t="s">
        <v>256</v>
      </c>
      <c r="G64" s="305"/>
      <c r="H64" s="305"/>
      <c r="I64" s="305"/>
      <c r="J64" s="306"/>
      <c r="K64" s="14"/>
    </row>
    <row r="65" spans="4:11" ht="14.5" customHeight="1">
      <c r="D65" s="40"/>
      <c r="E65" s="173"/>
      <c r="F65" s="286"/>
      <c r="G65" s="287"/>
      <c r="H65" s="287"/>
      <c r="I65" s="287"/>
      <c r="J65" s="288"/>
      <c r="K65" s="14"/>
    </row>
    <row r="66" spans="4:11" ht="14.5" customHeight="1">
      <c r="D66" s="40"/>
      <c r="E66" s="173"/>
      <c r="F66" s="174"/>
      <c r="G66" s="175"/>
      <c r="H66" s="175"/>
      <c r="I66" s="175"/>
      <c r="J66" s="176"/>
      <c r="K66" s="14"/>
    </row>
    <row r="67" spans="4:11" ht="14.5" customHeight="1">
      <c r="D67" s="40"/>
      <c r="E67" s="173"/>
      <c r="F67" s="174"/>
      <c r="G67" s="175"/>
      <c r="H67" s="175"/>
      <c r="I67" s="175"/>
      <c r="J67" s="176"/>
      <c r="K67" s="14"/>
    </row>
    <row r="68" spans="4:11">
      <c r="D68" s="40"/>
      <c r="E68" s="173"/>
      <c r="F68" s="310"/>
      <c r="G68" s="287"/>
      <c r="H68" s="287"/>
      <c r="I68" s="287"/>
      <c r="J68" s="288"/>
      <c r="K68" s="14"/>
    </row>
    <row r="69" spans="4:11" ht="16.5">
      <c r="D69" s="40"/>
      <c r="E69" s="177"/>
      <c r="F69" s="269"/>
      <c r="G69" s="270"/>
      <c r="H69" s="270"/>
      <c r="I69" s="270"/>
      <c r="J69" s="271"/>
      <c r="K69" s="14"/>
    </row>
    <row r="70" spans="4:11" ht="17" thickBot="1">
      <c r="D70" s="40"/>
      <c r="E70" s="52"/>
      <c r="F70" s="182"/>
      <c r="G70" s="183"/>
      <c r="H70" s="183"/>
      <c r="I70" s="183"/>
      <c r="J70" s="184"/>
      <c r="K70" s="14"/>
    </row>
    <row r="71" spans="4:11" ht="15" thickBot="1">
      <c r="D71" s="40"/>
      <c r="E71" s="185" t="s">
        <v>254</v>
      </c>
      <c r="F71" s="186"/>
      <c r="G71" s="186"/>
      <c r="H71" s="186"/>
      <c r="I71" s="186"/>
      <c r="J71" s="187"/>
      <c r="K71" s="14"/>
    </row>
    <row r="72" spans="4:11" ht="15" thickBot="1">
      <c r="D72" s="40"/>
      <c r="E72" s="190" t="s">
        <v>59</v>
      </c>
      <c r="F72" s="191"/>
      <c r="G72" s="190" t="s">
        <v>56</v>
      </c>
      <c r="H72" s="191"/>
      <c r="I72" s="192" t="s">
        <v>60</v>
      </c>
      <c r="J72" s="191"/>
      <c r="K72" s="14"/>
    </row>
    <row r="73" spans="4:11">
      <c r="D73" s="40"/>
      <c r="E73" s="144" t="s">
        <v>255</v>
      </c>
      <c r="F73" s="143"/>
      <c r="G73" s="65"/>
      <c r="H73" s="66"/>
      <c r="I73" s="143"/>
      <c r="J73" s="110"/>
      <c r="K73" s="14"/>
    </row>
    <row r="74" spans="4:11">
      <c r="D74" s="40"/>
      <c r="E74" s="145" t="s">
        <v>273</v>
      </c>
      <c r="F74" s="146"/>
      <c r="G74" s="278" t="s">
        <v>227</v>
      </c>
      <c r="H74" s="279"/>
      <c r="I74" s="147" t="s">
        <v>261</v>
      </c>
      <c r="J74" s="148"/>
      <c r="K74" s="14"/>
    </row>
    <row r="75" spans="4:11">
      <c r="D75" s="40"/>
      <c r="E75" s="145" t="s">
        <v>274</v>
      </c>
      <c r="F75" s="149"/>
      <c r="G75" s="278" t="s">
        <v>131</v>
      </c>
      <c r="H75" s="279"/>
      <c r="I75" s="150" t="s">
        <v>262</v>
      </c>
      <c r="J75" s="151"/>
      <c r="K75" s="14"/>
    </row>
    <row r="76" spans="4:11">
      <c r="D76" s="40"/>
      <c r="E76" s="145" t="s">
        <v>275</v>
      </c>
      <c r="F76" s="149"/>
      <c r="G76" s="278" t="s">
        <v>131</v>
      </c>
      <c r="H76" s="279"/>
      <c r="I76" s="150" t="s">
        <v>263</v>
      </c>
      <c r="J76" s="152"/>
      <c r="K76" s="14"/>
    </row>
    <row r="77" spans="4:11">
      <c r="D77" s="40"/>
      <c r="E77" s="145" t="s">
        <v>276</v>
      </c>
      <c r="F77" s="149"/>
      <c r="G77" s="278" t="s">
        <v>131</v>
      </c>
      <c r="H77" s="279"/>
      <c r="I77" s="150" t="s">
        <v>264</v>
      </c>
      <c r="J77" s="152"/>
      <c r="K77" s="14"/>
    </row>
    <row r="78" spans="4:11">
      <c r="D78" s="40"/>
      <c r="E78" s="155" t="s">
        <v>256</v>
      </c>
      <c r="F78" s="156"/>
      <c r="G78" s="274"/>
      <c r="H78" s="275"/>
      <c r="I78" s="157"/>
      <c r="J78" s="158"/>
      <c r="K78" s="14"/>
    </row>
    <row r="79" spans="4:11">
      <c r="D79" s="40"/>
      <c r="E79" s="159" t="s">
        <v>189</v>
      </c>
      <c r="F79" s="160"/>
      <c r="G79" s="276" t="s">
        <v>176</v>
      </c>
      <c r="H79" s="277"/>
      <c r="I79" s="161" t="s">
        <v>181</v>
      </c>
      <c r="J79" s="162"/>
      <c r="K79" s="14"/>
    </row>
    <row r="80" spans="4:11">
      <c r="D80" s="40"/>
      <c r="E80" s="159" t="s">
        <v>190</v>
      </c>
      <c r="F80" s="163"/>
      <c r="G80" s="272" t="s">
        <v>227</v>
      </c>
      <c r="H80" s="273"/>
      <c r="I80" s="164" t="s">
        <v>182</v>
      </c>
      <c r="J80" s="165"/>
      <c r="K80" s="14"/>
    </row>
    <row r="81" spans="4:11">
      <c r="D81" s="40"/>
      <c r="E81" s="159" t="s">
        <v>194</v>
      </c>
      <c r="F81" s="163"/>
      <c r="G81" s="272" t="s">
        <v>227</v>
      </c>
      <c r="H81" s="273"/>
      <c r="I81" s="164" t="s">
        <v>186</v>
      </c>
      <c r="J81" s="166"/>
      <c r="K81" s="14"/>
    </row>
    <row r="82" spans="4:11">
      <c r="D82" s="40"/>
      <c r="E82" s="167" t="s">
        <v>195</v>
      </c>
      <c r="F82" s="163"/>
      <c r="G82" s="272" t="s">
        <v>227</v>
      </c>
      <c r="H82" s="273"/>
      <c r="I82" s="164" t="s">
        <v>228</v>
      </c>
      <c r="J82" s="166"/>
      <c r="K82" s="14"/>
    </row>
    <row r="83" spans="4:11">
      <c r="D83" s="40"/>
      <c r="E83" s="159" t="s">
        <v>196</v>
      </c>
      <c r="F83" s="163"/>
      <c r="G83" s="272" t="s">
        <v>227</v>
      </c>
      <c r="H83" s="273"/>
      <c r="I83" s="164" t="s">
        <v>182</v>
      </c>
      <c r="J83" s="165"/>
      <c r="K83" s="14"/>
    </row>
    <row r="84" spans="4:11">
      <c r="D84" s="40"/>
      <c r="E84" s="159" t="s">
        <v>198</v>
      </c>
      <c r="F84" s="163"/>
      <c r="G84" s="272" t="s">
        <v>176</v>
      </c>
      <c r="H84" s="273"/>
      <c r="I84" s="164" t="s">
        <v>188</v>
      </c>
      <c r="J84" s="166"/>
      <c r="K84" s="14"/>
    </row>
    <row r="85" spans="4:11" ht="15" thickBot="1">
      <c r="D85" s="40"/>
      <c r="E85" s="168" t="s">
        <v>178</v>
      </c>
      <c r="F85" s="169"/>
      <c r="G85" s="267" t="s">
        <v>227</v>
      </c>
      <c r="H85" s="268"/>
      <c r="I85" s="170" t="s">
        <v>179</v>
      </c>
      <c r="J85" s="171"/>
      <c r="K85" s="14"/>
    </row>
    <row r="86" spans="4:11">
      <c r="D86" s="40"/>
      <c r="K86" s="14"/>
    </row>
    <row r="87" spans="4:11">
      <c r="D87" s="40"/>
      <c r="I87" s="14"/>
      <c r="K87" s="14"/>
    </row>
    <row r="88" spans="4:11">
      <c r="D88" s="40"/>
      <c r="E88" s="43"/>
      <c r="F88" s="44"/>
      <c r="G88" s="44"/>
      <c r="H88" s="44"/>
      <c r="I88" s="44"/>
      <c r="J88" s="45"/>
      <c r="K88" s="14"/>
    </row>
    <row r="89" spans="4:11">
      <c r="D89" s="40"/>
      <c r="K89" s="14"/>
    </row>
    <row r="90" spans="4:11">
      <c r="I90" s="14"/>
      <c r="K90" s="14"/>
    </row>
    <row r="91" spans="4:11">
      <c r="I91" s="14"/>
      <c r="K91" s="14"/>
    </row>
    <row r="92" spans="4:11">
      <c r="I92" s="14"/>
      <c r="K92" s="14"/>
    </row>
    <row r="93" spans="4:11">
      <c r="I93" s="14"/>
      <c r="K93" s="14"/>
    </row>
    <row r="94" spans="4:11">
      <c r="I94" s="14"/>
      <c r="K94" s="14"/>
    </row>
    <row r="95" spans="4:11">
      <c r="K95" s="14"/>
    </row>
    <row r="101" ht="14.5" customHeight="1"/>
    <row r="2020" spans="5:9">
      <c r="H2020" s="1" t="s">
        <v>23</v>
      </c>
      <c r="I2020" s="25" t="s">
        <v>62</v>
      </c>
    </row>
    <row r="2021" spans="5:9">
      <c r="E2021" s="1" t="s">
        <v>63</v>
      </c>
      <c r="F2021" s="1" t="s">
        <v>52</v>
      </c>
      <c r="G2021" s="21" t="s">
        <v>5</v>
      </c>
      <c r="H2021" s="1" t="s">
        <v>14</v>
      </c>
      <c r="I2021" s="25" t="s">
        <v>64</v>
      </c>
    </row>
    <row r="2022" spans="5:9">
      <c r="E2022" s="1" t="s">
        <v>67</v>
      </c>
      <c r="F2022" s="1" t="s">
        <v>68</v>
      </c>
      <c r="G2022" s="22" t="s">
        <v>69</v>
      </c>
      <c r="H2022" s="1" t="s">
        <v>6</v>
      </c>
      <c r="I2022" s="25" t="s">
        <v>70</v>
      </c>
    </row>
    <row r="2023" spans="5:9">
      <c r="E2023" s="1" t="s">
        <v>53</v>
      </c>
      <c r="F2023" s="1" t="s">
        <v>71</v>
      </c>
      <c r="G2023" s="23" t="s">
        <v>11</v>
      </c>
      <c r="H2023" s="1" t="s">
        <v>65</v>
      </c>
      <c r="I2023" s="25" t="s">
        <v>72</v>
      </c>
    </row>
    <row r="2024" spans="5:9">
      <c r="E2024" s="1" t="s">
        <v>51</v>
      </c>
      <c r="F2024" s="1" t="s">
        <v>50</v>
      </c>
      <c r="H2024" s="1" t="s">
        <v>34</v>
      </c>
      <c r="I2024" s="25" t="s">
        <v>74</v>
      </c>
    </row>
    <row r="2025" spans="5:9">
      <c r="H2025" s="1" t="s">
        <v>73</v>
      </c>
      <c r="I2025" s="25" t="s">
        <v>76</v>
      </c>
    </row>
    <row r="2026" spans="5:9">
      <c r="H2026" s="1" t="s">
        <v>75</v>
      </c>
      <c r="I2026" s="25" t="s">
        <v>77</v>
      </c>
    </row>
    <row r="2027" spans="5:9">
      <c r="H2027" s="1" t="s">
        <v>38</v>
      </c>
      <c r="I2027" s="25" t="s">
        <v>78</v>
      </c>
    </row>
    <row r="2035" spans="2:3">
      <c r="B2035" s="1" t="s">
        <v>23</v>
      </c>
    </row>
    <row r="2036" spans="2:3">
      <c r="B2036" s="1" t="s">
        <v>14</v>
      </c>
    </row>
    <row r="2037" spans="2:3">
      <c r="B2037" s="1" t="s">
        <v>6</v>
      </c>
      <c r="C2037" s="1" t="s">
        <v>44</v>
      </c>
    </row>
    <row r="2038" spans="2:3">
      <c r="B2038" s="1" t="s">
        <v>65</v>
      </c>
      <c r="C2038" s="1" t="s">
        <v>66</v>
      </c>
    </row>
    <row r="2039" spans="2:3">
      <c r="B2039" s="1" t="s">
        <v>34</v>
      </c>
      <c r="C2039" s="1" t="s">
        <v>41</v>
      </c>
    </row>
    <row r="2040" spans="2:3">
      <c r="B2040" s="1" t="s">
        <v>73</v>
      </c>
    </row>
    <row r="2041" spans="2:3">
      <c r="B2041" s="1" t="s">
        <v>75</v>
      </c>
    </row>
    <row r="2042" spans="2:3">
      <c r="B2042" s="1" t="s">
        <v>38</v>
      </c>
    </row>
  </sheetData>
  <mergeCells count="73">
    <mergeCell ref="G83:H83"/>
    <mergeCell ref="G84:H84"/>
    <mergeCell ref="F64:J64"/>
    <mergeCell ref="F58:J58"/>
    <mergeCell ref="F59:J59"/>
    <mergeCell ref="F60:J60"/>
    <mergeCell ref="F62:J62"/>
    <mergeCell ref="F68:J68"/>
    <mergeCell ref="G81:H81"/>
    <mergeCell ref="G82:H82"/>
    <mergeCell ref="A12:C12"/>
    <mergeCell ref="F12:J12"/>
    <mergeCell ref="F35:H35"/>
    <mergeCell ref="E3:J3"/>
    <mergeCell ref="A4:C4"/>
    <mergeCell ref="E4:J4"/>
    <mergeCell ref="F5:J5"/>
    <mergeCell ref="F6:J6"/>
    <mergeCell ref="F7:J7"/>
    <mergeCell ref="A13:C13"/>
    <mergeCell ref="F13:J13"/>
    <mergeCell ref="A14:C18"/>
    <mergeCell ref="E14:J14"/>
    <mergeCell ref="E34:J34"/>
    <mergeCell ref="E19:J19"/>
    <mergeCell ref="E28:J28"/>
    <mergeCell ref="F8:J8"/>
    <mergeCell ref="F9:J9"/>
    <mergeCell ref="F10:J10"/>
    <mergeCell ref="F11:J11"/>
    <mergeCell ref="F29:H29"/>
    <mergeCell ref="F30:H30"/>
    <mergeCell ref="F31:H31"/>
    <mergeCell ref="F32:H32"/>
    <mergeCell ref="F33:H33"/>
    <mergeCell ref="F36:H36"/>
    <mergeCell ref="F37:H37"/>
    <mergeCell ref="F38:H38"/>
    <mergeCell ref="E39:J39"/>
    <mergeCell ref="F40:J40"/>
    <mergeCell ref="F41:J41"/>
    <mergeCell ref="F42:J42"/>
    <mergeCell ref="F43:J43"/>
    <mergeCell ref="F44:J44"/>
    <mergeCell ref="F65:J65"/>
    <mergeCell ref="E54:J54"/>
    <mergeCell ref="F45:J45"/>
    <mergeCell ref="F46:J46"/>
    <mergeCell ref="F47:J47"/>
    <mergeCell ref="F48:J48"/>
    <mergeCell ref="F57:J57"/>
    <mergeCell ref="F53:J53"/>
    <mergeCell ref="F49:J49"/>
    <mergeCell ref="F50:J50"/>
    <mergeCell ref="F51:J51"/>
    <mergeCell ref="F52:J52"/>
    <mergeCell ref="F56:J56"/>
    <mergeCell ref="G85:H85"/>
    <mergeCell ref="F55:J55"/>
    <mergeCell ref="F69:J69"/>
    <mergeCell ref="F70:J70"/>
    <mergeCell ref="G80:H80"/>
    <mergeCell ref="G78:H78"/>
    <mergeCell ref="G79:H79"/>
    <mergeCell ref="G75:H75"/>
    <mergeCell ref="G76:H76"/>
    <mergeCell ref="G77:H77"/>
    <mergeCell ref="G74:H74"/>
    <mergeCell ref="E71:J71"/>
    <mergeCell ref="E72:F72"/>
    <mergeCell ref="G72:H72"/>
    <mergeCell ref="I72:J72"/>
    <mergeCell ref="F61:J61"/>
  </mergeCells>
  <phoneticPr fontId="24" type="noConversion"/>
  <dataValidations count="6">
    <dataValidation type="list" showErrorMessage="1" promptTitle="Dropdown Status for description" prompt="Choose the status for description " sqref="A13">
      <formula1>$B$2035:$B$2042</formula1>
    </dataValidation>
    <dataValidation type="list" showInputMessage="1" showErrorMessage="1" sqref="A6:A11">
      <formula1>$G$2021:$G$2023</formula1>
    </dataValidation>
    <dataValidation type="list" showInputMessage="1" showErrorMessage="1" sqref="B6:B11 J16:J18">
      <formula1>$B$2036:$B$2042</formula1>
    </dataValidation>
    <dataValidation type="list" showInputMessage="1" showErrorMessage="1" sqref="I32:I33">
      <formula1>$F$2021:$F$2025</formula1>
    </dataValidation>
    <dataValidation type="list" showInputMessage="1" showErrorMessage="1" sqref="J30:J33 J36:J38">
      <formula1>$E$2021:$E$2024</formula1>
    </dataValidation>
    <dataValidation type="list" showInputMessage="1" showErrorMessage="1" sqref="J21:J27">
      <formula1>$C$2037:$C$2039</formula1>
    </dataValidation>
  </dataValidations>
  <hyperlinks>
    <hyperlink ref="E76:F76" r:id="rId1" display="USERSTORY240259"/>
    <hyperlink ref="E77:F77" r:id="rId2" display="USERSTORY239398"/>
    <hyperlink ref="E41" r:id="rId3" display="https://nam04.safelinks.protection.outlook.com/?url=https%3A%2F%2Fwisconsindpi.visualstudio.com%2Fd03023ea-9e63-4e4e-aa64-656b0167ed08%2F_workitems%2Fedit%2F243331&amp;data=05%7C02%7CVindhya.Jajavarapu%40dpi.wi.gov%7Cfe959cee0cbd4dc1ad9d08de9b6c44db%7C1654d14032604903b5b718450051ce16%7C1%7C0%7C639119086506636003%7CUnknown%7CTWFpbGZsb3d8eyJFbXB0eU1hcGkiOnRydWUsIlYiOiIwLjAuMDAwMCIsIlAiOiJXaW4zMiIsIkFOIjoiTWFpbCIsIldUIjoyfQ%3D%3D%7C0%7C%7C%7C&amp;sdata=QwAdXbsWCsOhxsQqyDeQAfuGD0tykEb%2F3L%2BNHY6L1pI%3D&amp;reserved=0"/>
    <hyperlink ref="E42" r:id="rId4" display="https://nam04.safelinks.protection.outlook.com/?url=https%3A%2F%2Fwisconsindpi.visualstudio.com%2Fd03023ea-9e63-4e4e-aa64-656b0167ed08%2F_workitems%2Fedit%2F243171&amp;data=05%7C02%7CVindhya.Jajavarapu%40dpi.wi.gov%7Cfe959cee0cbd4dc1ad9d08de9b6c44db%7C1654d14032604903b5b718450051ce16%7C1%7C0%7C639119086506674427%7CUnknown%7CTWFpbGZsb3d8eyJFbXB0eU1hcGkiOnRydWUsIlYiOiIwLjAuMDAwMCIsIlAiOiJXaW4zMiIsIkFOIjoiTWFpbCIsIldUIjoyfQ%3D%3D%7C0%7C%7C%7C&amp;sdata=OlEmORH4Zq%2BOM1SJ%2FIdSFiYn8a2RNp2Hi%2Bva1gNKHtc%3D&amp;reserved=0"/>
    <hyperlink ref="E43" r:id="rId5" display="https://nam04.safelinks.protection.outlook.com/?url=https%3A%2F%2Fwisconsindpi.visualstudio.com%2Fd03023ea-9e63-4e4e-aa64-656b0167ed08%2F_workitems%2Fedit%2F243086&amp;data=05%7C02%7CVindhya.Jajavarapu%40dpi.wi.gov%7Cfe959cee0cbd4dc1ad9d08de9b6c44db%7C1654d14032604903b5b718450051ce16%7C1%7C0%7C639119086506888808%7CUnknown%7CTWFpbGZsb3d8eyJFbXB0eU1hcGkiOnRydWUsIlYiOiIwLjAuMDAwMCIsIlAiOiJXaW4zMiIsIkFOIjoiTWFpbCIsIldUIjoyfQ%3D%3D%7C0%7C%7C%7C&amp;sdata=Rl4gdbQ33M0dG99TgQtTBY4wZ1tDMSanIP4QI%2F5sFpQ%3D&amp;reserved=0"/>
    <hyperlink ref="E44" r:id="rId6" display="https://nam04.safelinks.protection.outlook.com/?url=https%3A%2F%2Fwisconsindpi.visualstudio.com%2Fd03023ea-9e63-4e4e-aa64-656b0167ed08%2F_workitems%2Fedit%2F242845&amp;data=05%7C02%7CVindhya.Jajavarapu%40dpi.wi.gov%7Cfe959cee0cbd4dc1ad9d08de9b6c44db%7C1654d14032604903b5b718450051ce16%7C1%7C0%7C639119086506928217%7CUnknown%7CTWFpbGZsb3d8eyJFbXB0eU1hcGkiOnRydWUsIlYiOiIwLjAuMDAwMCIsIlAiOiJXaW4zMiIsIkFOIjoiTWFpbCIsIldUIjoyfQ%3D%3D%7C0%7C%7C%7C&amp;sdata=T0wbgh2MozP06Z721I%2FTtXwF0lNOSTx%2BFzNxFmgFXbU%3D&amp;reserved=0"/>
    <hyperlink ref="E45" r:id="rId7" display="https://nam04.safelinks.protection.outlook.com/?url=https%3A%2F%2Fwisconsindpi.visualstudio.com%2Fd03023ea-9e63-4e4e-aa64-656b0167ed08%2F_workitems%2Fedit%2F242837&amp;data=05%7C02%7CVindhya.Jajavarapu%40dpi.wi.gov%7Cfe959cee0cbd4dc1ad9d08de9b6c44db%7C1654d14032604903b5b718450051ce16%7C1%7C0%7C639119086506968414%7CUnknown%7CTWFpbGZsb3d8eyJFbXB0eU1hcGkiOnRydWUsIlYiOiIwLjAuMDAwMCIsIlAiOiJXaW4zMiIsIkFOIjoiTWFpbCIsIldUIjoyfQ%3D%3D%7C0%7C%7C%7C&amp;sdata=4GfGdKJ06aRISF%2F5JaWNB7ibKnYNiUWPT%2BfGHcOripI%3D&amp;reserved=0"/>
    <hyperlink ref="E46" r:id="rId8" display="https://nam04.safelinks.protection.outlook.com/?url=https%3A%2F%2Fwisconsindpi.visualstudio.com%2Fd03023ea-9e63-4e4e-aa64-656b0167ed08%2F_workitems%2Fedit%2F242835&amp;data=05%7C02%7CVindhya.Jajavarapu%40dpi.wi.gov%7Cfe959cee0cbd4dc1ad9d08de9b6c44db%7C1654d14032604903b5b718450051ce16%7C1%7C0%7C639119086507011493%7CUnknown%7CTWFpbGZsb3d8eyJFbXB0eU1hcGkiOnRydWUsIlYiOiIwLjAuMDAwMCIsIlAiOiJXaW4zMiIsIkFOIjoiTWFpbCIsIldUIjoyfQ%3D%3D%7C0%7C%7C%7C&amp;sdata=rSS9xdOXzMSRykxgKBwUed1d79HdFJ2z7GGVg9ozjOQ%3D&amp;reserved=0"/>
    <hyperlink ref="E47" r:id="rId9" display="https://nam04.safelinks.protection.outlook.com/?url=https%3A%2F%2Fwisconsindpi.visualstudio.com%2Fd03023ea-9e63-4e4e-aa64-656b0167ed08%2F_workitems%2Fedit%2F242841&amp;data=05%7C02%7CVindhya.Jajavarapu%40dpi.wi.gov%7Cfe959cee0cbd4dc1ad9d08de9b6c44db%7C1654d14032604903b5b718450051ce16%7C1%7C0%7C639119086507057489%7CUnknown%7CTWFpbGZsb3d8eyJFbXB0eU1hcGkiOnRydWUsIlYiOiIwLjAuMDAwMCIsIlAiOiJXaW4zMiIsIkFOIjoiTWFpbCIsIldUIjoyfQ%3D%3D%7C0%7C%7C%7C&amp;sdata=gTt3CDq8g2a5fbr0L44SyEh1xe6QwwE%2F44hNKVrxEGk%3D&amp;reserved=0"/>
    <hyperlink ref="E48" r:id="rId10" display="https://nam04.safelinks.protection.outlook.com/?url=https%3A%2F%2Fwisconsindpi.visualstudio.com%2Fd03023ea-9e63-4e4e-aa64-656b0167ed08%2F_workitems%2Fedit%2F243074&amp;data=05%7C02%7CVindhya.Jajavarapu%40dpi.wi.gov%7Cfe959cee0cbd4dc1ad9d08de9b6c44db%7C1654d14032604903b5b718450051ce16%7C1%7C0%7C639119086507097918%7CUnknown%7CTWFpbGZsb3d8eyJFbXB0eU1hcGkiOnRydWUsIlYiOiIwLjAuMDAwMCIsIlAiOiJXaW4zMiIsIkFOIjoiTWFpbCIsIldUIjoyfQ%3D%3D%7C0%7C%7C%7C&amp;sdata=IUmFNQpuFdXuhqsG%2F8rAX57U%2FnoOTJ%2BAHL08V4UzPEQ%3D&amp;reserved=0"/>
    <hyperlink ref="E49" r:id="rId11" display="https://nam04.safelinks.protection.outlook.com/?url=https%3A%2F%2Fwisconsindpi.visualstudio.com%2Fd03023ea-9e63-4e4e-aa64-656b0167ed08%2F_workitems%2Fedit%2F242844&amp;data=05%7C02%7CVindhya.Jajavarapu%40dpi.wi.gov%7Cfe959cee0cbd4dc1ad9d08de9b6c44db%7C1654d14032604903b5b718450051ce16%7C1%7C0%7C639119086507160002%7CUnknown%7CTWFpbGZsb3d8eyJFbXB0eU1hcGkiOnRydWUsIlYiOiIwLjAuMDAwMCIsIlAiOiJXaW4zMiIsIkFOIjoiTWFpbCIsIldUIjoyfQ%3D%3D%7C0%7C%7C%7C&amp;sdata=vMgYXbcSb2ea5rnbQEXxfAVs8rNLSgkH227ly5XY%2BZ0%3D&amp;reserved=0"/>
    <hyperlink ref="E50" r:id="rId12" display="https://nam04.safelinks.protection.outlook.com/?url=https%3A%2F%2Fwisconsindpi.visualstudio.com%2Fd03023ea-9e63-4e4e-aa64-656b0167ed08%2F_workitems%2Fedit%2F242846&amp;data=05%7C02%7CVindhya.Jajavarapu%40dpi.wi.gov%7Cfe959cee0cbd4dc1ad9d08de9b6c44db%7C1654d14032604903b5b718450051ce16%7C1%7C0%7C639119086507215531%7CUnknown%7CTWFpbGZsb3d8eyJFbXB0eU1hcGkiOnRydWUsIlYiOiIwLjAuMDAwMCIsIlAiOiJXaW4zMiIsIkFOIjoiTWFpbCIsIldUIjoyfQ%3D%3D%7C0%7C%7C%7C&amp;sdata=IiEntG9zDm36%2FCGO827OkYZIyWIt5wI%2FU7DPLCYgn7c%3D&amp;reserved=0"/>
    <hyperlink ref="E51" r:id="rId13" display="https://nam04.safelinks.protection.outlook.com/?url=https%3A%2F%2Fwisconsindpi.visualstudio.com%2Fd03023ea-9e63-4e4e-aa64-656b0167ed08%2F_workitems%2Fedit%2F242836&amp;data=05%7C02%7CVindhya.Jajavarapu%40dpi.wi.gov%7Cfe959cee0cbd4dc1ad9d08de9b6c44db%7C1654d14032604903b5b718450051ce16%7C1%7C0%7C639119086507241693%7CUnknown%7CTWFpbGZsb3d8eyJFbXB0eU1hcGkiOnRydWUsIlYiOiIwLjAuMDAwMCIsIlAiOiJXaW4zMiIsIkFOIjoiTWFpbCIsIldUIjoyfQ%3D%3D%7C0%7C%7C%7C&amp;sdata=Ai1Zku%2Fsjb29b1ijDg019l%2FFAA%2FKDvS4dV%2B0cfJuInw%3D&amp;reserved=0"/>
    <hyperlink ref="E52" r:id="rId14" display="https://nam04.safelinks.protection.outlook.com/?url=https%3A%2F%2Fwisconsindpi.visualstudio.com%2Fd03023ea-9e63-4e4e-aa64-656b0167ed08%2F_workitems%2Fedit%2F242840&amp;data=05%7C02%7CVindhya.Jajavarapu%40dpi.wi.gov%7Cfe959cee0cbd4dc1ad9d08de9b6c44db%7C1654d14032604903b5b718450051ce16%7C1%7C0%7C639119086507255553%7CUnknown%7CTWFpbGZsb3d8eyJFbXB0eU1hcGkiOnRydWUsIlYiOiIwLjAuMDAwMCIsIlAiOiJXaW4zMiIsIkFOIjoiTWFpbCIsIldUIjoyfQ%3D%3D%7C0%7C%7C%7C&amp;sdata=KPZE6aCR7GZyBZOCECs8WXQXUye48nyGb%2BsvTtqSpZM%3D&amp;reserved=0"/>
    <hyperlink ref="E79" r:id="rId15"/>
    <hyperlink ref="E80" r:id="rId16"/>
    <hyperlink ref="E81" r:id="rId17"/>
    <hyperlink ref="E82" r:id="rId18"/>
    <hyperlink ref="E83:F83" r:id="rId19" display="USERSTORY240529"/>
    <hyperlink ref="E84:F84" r:id="rId20" display="USERSTORY240530"/>
    <hyperlink ref="E83" r:id="rId21"/>
    <hyperlink ref="E84" r:id="rId22"/>
    <hyperlink ref="E85" r:id="rId23"/>
    <hyperlink ref="E85:F85" r:id="rId24" display="USERSTORY240884"/>
    <hyperlink ref="E62" r:id="rId25"/>
    <hyperlink ref="E58" r:id="rId26"/>
    <hyperlink ref="E60" r:id="rId27"/>
    <hyperlink ref="E59" r:id="rId28"/>
    <hyperlink ref="E61" r:id="rId29"/>
    <hyperlink ref="E74" r:id="rId30" display="https://nam04.safelinks.protection.outlook.com/?url=https%3A%2F%2Fwisconsindpi.visualstudio.com%2Fd03023ea-9e63-4e4e-aa64-656b0167ed08%2F_workitems%2Fedit%2F243948&amp;data=05%7C02%7CVindhya.Jajavarapu%40dpi.wi.gov%7C7d15ae9706ce4cb0b2ed08deb4533a75%7C1654d14032604903b5b718450051ce16%7C1%7C0%7C639146466733217239%7CUnknown%7CTWFpbGZsb3d8eyJFbXB0eU1hcGkiOnRydWUsIlYiOiIwLjAuMDAwMCIsIlAiOiJXaW4zMiIsIkFOIjoiTWFpbCIsIldUIjoyfQ%3D%3D%7C0%7C%7C%7C&amp;sdata=HcYrGUKxPI5fKaO7WQNJzYgtIWDgju0iP3e4KyzXZpI%3D&amp;reserved=0"/>
    <hyperlink ref="E75" r:id="rId31" display="https://nam04.safelinks.protection.outlook.com/?url=https%3A%2F%2Fwisconsindpi.visualstudio.com%2Fd03023ea-9e63-4e4e-aa64-656b0167ed08%2F_workitems%2Fedit%2F243876&amp;data=05%7C02%7CVindhya.Jajavarapu%40dpi.wi.gov%7C7d15ae9706ce4cb0b2ed08deb4533a75%7C1654d14032604903b5b718450051ce16%7C1%7C0%7C639146466733266448%7CUnknown%7CTWFpbGZsb3d8eyJFbXB0eU1hcGkiOnRydWUsIlYiOiIwLjAuMDAwMCIsIlAiOiJXaW4zMiIsIkFOIjoiTWFpbCIsIldUIjoyfQ%3D%3D%7C0%7C%7C%7C&amp;sdata=%2B1CnPPccawuBJ1n9e%2F7kDmIH2Dr8qAl90w8s3scNQyw%3D&amp;reserved=0"/>
    <hyperlink ref="E76" r:id="rId32" display="https://nam04.safelinks.protection.outlook.com/?url=https%3A%2F%2Fwisconsindpi.visualstudio.com%2Fd03023ea-9e63-4e4e-aa64-656b0167ed08%2F_workitems%2Fedit%2F243851&amp;data=05%7C02%7CVindhya.Jajavarapu%40dpi.wi.gov%7C7d15ae9706ce4cb0b2ed08deb4533a75%7C1654d14032604903b5b718450051ce16%7C1%7C0%7C639146466733301912%7CUnknown%7CTWFpbGZsb3d8eyJFbXB0eU1hcGkiOnRydWUsIlYiOiIwLjAuMDAwMCIsIlAiOiJXaW4zMiIsIkFOIjoiTWFpbCIsIldUIjoyfQ%3D%3D%7C0%7C%7C%7C&amp;sdata=eeI0ZkJaCWWxxekgg12TbMqXeChzz8vk5zY453hFMJE%3D&amp;reserved=0"/>
    <hyperlink ref="E77" r:id="rId33" display="https://nam04.safelinks.protection.outlook.com/?url=https%3A%2F%2Fwisconsindpi.visualstudio.com%2Fd03023ea-9e63-4e4e-aa64-656b0167ed08%2F_workitems%2Fedit%2F243488&amp;data=05%7C02%7CVindhya.Jajavarapu%40dpi.wi.gov%7C7d15ae9706ce4cb0b2ed08deb4533a75%7C1654d14032604903b5b718450051ce16%7C1%7C0%7C639146466733336825%7CUnknown%7CTWFpbGZsb3d8eyJFbXB0eU1hcGkiOnRydWUsIlYiOiIwLjAuMDAwMCIsIlAiOiJXaW4zMiIsIkFOIjoiTWFpbCIsIldUIjoyfQ%3D%3D%7C0%7C%7C%7C&amp;sdata=MUcvDQaHvKKpYQAF6b61laxdbppG2KUoIXM6UV9Aoz4%3D&amp;reserved=0"/>
  </hyperlinks>
  <pageMargins left="0.7" right="0.7" top="0.75" bottom="0.75" header="0.3" footer="0.3"/>
  <drawing r:id="rId34"/>
  <legacyDrawing r:id="rId3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topLeftCell="B1" zoomScale="110" zoomScaleNormal="110" workbookViewId="0">
      <selection activeCell="C21" sqref="C21"/>
    </sheetView>
  </sheetViews>
  <sheetFormatPr defaultRowHeight="15" customHeight="1"/>
  <cols>
    <col min="1" max="1" width="69.1796875" customWidth="1"/>
    <col min="2" max="2" width="16.36328125" customWidth="1"/>
    <col min="3" max="3" width="92.26953125" customWidth="1"/>
    <col min="4" max="4" width="41.08984375" style="97" customWidth="1"/>
    <col min="5" max="5" width="88.54296875" customWidth="1"/>
    <col min="6" max="6" width="17.54296875" customWidth="1"/>
    <col min="7" max="7" width="28.453125" customWidth="1"/>
  </cols>
  <sheetData>
    <row r="1" spans="1:9" ht="16" thickBot="1">
      <c r="A1" s="53" t="s">
        <v>79</v>
      </c>
      <c r="B1" s="69" t="s">
        <v>80</v>
      </c>
      <c r="C1" s="69" t="s">
        <v>251</v>
      </c>
      <c r="D1" s="70" t="s">
        <v>81</v>
      </c>
      <c r="E1" s="71" t="s">
        <v>82</v>
      </c>
      <c r="F1" s="71" t="s">
        <v>2</v>
      </c>
      <c r="G1" s="71" t="s">
        <v>83</v>
      </c>
    </row>
    <row r="2" spans="1:9" ht="22" customHeight="1">
      <c r="A2" s="72" t="s">
        <v>133</v>
      </c>
      <c r="B2" s="73" t="s">
        <v>199</v>
      </c>
      <c r="C2" s="74" t="s">
        <v>229</v>
      </c>
      <c r="D2" s="75" t="s">
        <v>168</v>
      </c>
      <c r="E2" s="76" t="s">
        <v>169</v>
      </c>
      <c r="F2" s="77" t="s">
        <v>41</v>
      </c>
      <c r="G2" s="78"/>
    </row>
    <row r="3" spans="1:9" ht="24.5" customHeight="1">
      <c r="A3" s="72" t="s">
        <v>134</v>
      </c>
      <c r="B3" s="79" t="s">
        <v>199</v>
      </c>
      <c r="C3" s="80" t="s">
        <v>230</v>
      </c>
      <c r="D3" s="81" t="s">
        <v>170</v>
      </c>
      <c r="E3" s="82" t="s">
        <v>173</v>
      </c>
      <c r="F3" s="83" t="s">
        <v>41</v>
      </c>
      <c r="G3" s="84"/>
      <c r="H3" s="85"/>
      <c r="I3" s="85"/>
    </row>
    <row r="4" spans="1:9" ht="29.5" customHeight="1">
      <c r="A4" s="72" t="s">
        <v>135</v>
      </c>
      <c r="B4" s="79" t="s">
        <v>132</v>
      </c>
      <c r="C4" s="80" t="s">
        <v>231</v>
      </c>
      <c r="D4" s="81" t="s">
        <v>171</v>
      </c>
      <c r="E4" s="82" t="s">
        <v>174</v>
      </c>
      <c r="F4" s="83" t="s">
        <v>41</v>
      </c>
      <c r="G4" s="84"/>
      <c r="H4" s="85"/>
      <c r="I4" s="85"/>
    </row>
    <row r="5" spans="1:9" ht="28" customHeight="1">
      <c r="A5" s="72" t="s">
        <v>136</v>
      </c>
      <c r="B5" s="79" t="s">
        <v>84</v>
      </c>
      <c r="C5" s="80" t="s">
        <v>232</v>
      </c>
      <c r="D5" s="81" t="s">
        <v>175</v>
      </c>
      <c r="E5" s="82" t="s">
        <v>177</v>
      </c>
      <c r="F5" s="83" t="s">
        <v>41</v>
      </c>
      <c r="G5" s="84"/>
    </row>
    <row r="6" spans="1:9" ht="24.5" customHeight="1">
      <c r="A6" s="72" t="s">
        <v>123</v>
      </c>
      <c r="B6" s="79" t="s">
        <v>132</v>
      </c>
      <c r="C6" s="80" t="s">
        <v>200</v>
      </c>
      <c r="D6" s="50" t="s">
        <v>189</v>
      </c>
      <c r="E6" s="86" t="s">
        <v>181</v>
      </c>
      <c r="F6" s="83" t="s">
        <v>41</v>
      </c>
      <c r="G6" s="84"/>
    </row>
    <row r="7" spans="1:9" ht="28" customHeight="1">
      <c r="A7" s="87" t="s">
        <v>124</v>
      </c>
      <c r="B7" s="79" t="s">
        <v>132</v>
      </c>
      <c r="C7" s="80" t="s">
        <v>233</v>
      </c>
      <c r="D7" s="50" t="s">
        <v>190</v>
      </c>
      <c r="E7" s="82" t="s">
        <v>182</v>
      </c>
      <c r="F7" s="83" t="s">
        <v>41</v>
      </c>
      <c r="G7" s="84"/>
    </row>
    <row r="8" spans="1:9" ht="30.5" customHeight="1">
      <c r="A8" s="88" t="s">
        <v>122</v>
      </c>
      <c r="B8" s="79" t="s">
        <v>199</v>
      </c>
      <c r="C8" s="80" t="s">
        <v>234</v>
      </c>
      <c r="D8" s="50" t="s">
        <v>194</v>
      </c>
      <c r="E8" s="82" t="s">
        <v>186</v>
      </c>
      <c r="F8" s="83" t="s">
        <v>41</v>
      </c>
      <c r="G8" s="84"/>
    </row>
    <row r="9" spans="1:9" ht="40.5" customHeight="1">
      <c r="A9" s="89"/>
      <c r="B9" s="79" t="s">
        <v>84</v>
      </c>
      <c r="C9" s="80" t="s">
        <v>235</v>
      </c>
      <c r="D9" s="90" t="s">
        <v>195</v>
      </c>
      <c r="E9" s="82" t="s">
        <v>228</v>
      </c>
      <c r="F9" s="83" t="s">
        <v>41</v>
      </c>
      <c r="G9" s="84"/>
    </row>
    <row r="10" spans="1:9" ht="26" customHeight="1">
      <c r="A10" s="88"/>
      <c r="B10" s="79" t="s">
        <v>132</v>
      </c>
      <c r="C10" s="80" t="s">
        <v>236</v>
      </c>
      <c r="D10" s="50" t="s">
        <v>196</v>
      </c>
      <c r="E10" s="82" t="s">
        <v>182</v>
      </c>
      <c r="F10" s="83" t="s">
        <v>41</v>
      </c>
      <c r="G10" s="84"/>
    </row>
    <row r="11" spans="1:9" ht="33.5" customHeight="1">
      <c r="A11" s="88"/>
      <c r="B11" s="79" t="s">
        <v>199</v>
      </c>
      <c r="C11" s="80" t="s">
        <v>237</v>
      </c>
      <c r="D11" s="50" t="s">
        <v>198</v>
      </c>
      <c r="E11" s="82" t="s">
        <v>188</v>
      </c>
      <c r="F11" s="83" t="s">
        <v>41</v>
      </c>
      <c r="G11" s="84"/>
    </row>
    <row r="12" spans="1:9" ht="29.5" thickBot="1">
      <c r="B12" s="91" t="s">
        <v>132</v>
      </c>
      <c r="C12" s="92" t="s">
        <v>238</v>
      </c>
      <c r="D12" s="93" t="s">
        <v>178</v>
      </c>
      <c r="E12" s="94" t="s">
        <v>179</v>
      </c>
      <c r="F12" s="95" t="s">
        <v>41</v>
      </c>
      <c r="G12" s="96"/>
    </row>
    <row r="13" spans="1:9" ht="14.5"/>
    <row r="14" spans="1:9" ht="14.5"/>
    <row r="15" spans="1:9" ht="14.5"/>
    <row r="16" spans="1:9" ht="14.5"/>
    <row r="17" ht="14.5"/>
    <row r="18" ht="14.5"/>
    <row r="19" ht="14.5"/>
    <row r="20" ht="14.5"/>
    <row r="21" ht="14.5"/>
    <row r="22" ht="14.5"/>
    <row r="23" ht="14.5"/>
    <row r="24" ht="14.5"/>
    <row r="25" ht="14.5"/>
    <row r="26" ht="14.5"/>
    <row r="27" ht="14.5"/>
    <row r="28" ht="14.5"/>
    <row r="29" ht="14.5"/>
    <row r="30" ht="14.5"/>
    <row r="31" ht="14.5"/>
    <row r="32" ht="14.5"/>
    <row r="33" spans="1:1" ht="14.5"/>
    <row r="34" spans="1:1" ht="14.5"/>
    <row r="35" spans="1:1" ht="14.5"/>
    <row r="36" spans="1:1" ht="14.5">
      <c r="A36" s="98"/>
    </row>
    <row r="37" spans="1:1" ht="14.5">
      <c r="A37" s="99"/>
    </row>
    <row r="38" spans="1:1" ht="14.5">
      <c r="A38" s="99"/>
    </row>
    <row r="39" spans="1:1" ht="14.5">
      <c r="A39" s="99"/>
    </row>
    <row r="40" spans="1:1" ht="14.5">
      <c r="A40" s="99"/>
    </row>
    <row r="41" spans="1:1" ht="14.5">
      <c r="A41" s="99"/>
    </row>
    <row r="42" spans="1:1" ht="14.5">
      <c r="A42" s="99"/>
    </row>
    <row r="43" spans="1:1" ht="14.5">
      <c r="A43" s="99"/>
    </row>
    <row r="44" spans="1:1" ht="14.5">
      <c r="A44" s="99"/>
    </row>
    <row r="45" spans="1:1" ht="14.5">
      <c r="A45" s="99"/>
    </row>
    <row r="46" spans="1:1" ht="14.5">
      <c r="A46" s="99"/>
    </row>
  </sheetData>
  <hyperlinks>
    <hyperlink ref="D3" r:id="rId1"/>
    <hyperlink ref="D4" r:id="rId2"/>
    <hyperlink ref="D7" r:id="rId3"/>
    <hyperlink ref="D8" r:id="rId4"/>
    <hyperlink ref="D2" r:id="rId5"/>
    <hyperlink ref="D5" r:id="rId6"/>
    <hyperlink ref="D6" r:id="rId7"/>
    <hyperlink ref="D9" r:id="rId8"/>
    <hyperlink ref="D10" r:id="rId9"/>
    <hyperlink ref="D11" r:id="rId10"/>
    <hyperlink ref="D12" r:id="rId11" display="USERSTORY24088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selection activeCell="B31" sqref="B31"/>
    </sheetView>
  </sheetViews>
  <sheetFormatPr defaultRowHeight="14.5"/>
  <cols>
    <col min="1" max="1" width="23.7265625" customWidth="1"/>
    <col min="2" max="2" width="102.7265625" customWidth="1"/>
  </cols>
  <sheetData>
    <row r="1" spans="1:2">
      <c r="B1" t="s">
        <v>288</v>
      </c>
    </row>
    <row r="2" spans="1:2">
      <c r="A2" s="141">
        <v>244685</v>
      </c>
      <c r="B2" s="140" t="s">
        <v>277</v>
      </c>
    </row>
    <row r="3" spans="1:2">
      <c r="A3" s="141">
        <v>244429</v>
      </c>
      <c r="B3" s="140" t="s">
        <v>278</v>
      </c>
    </row>
    <row r="4" spans="1:2">
      <c r="A4" s="141">
        <v>244161</v>
      </c>
      <c r="B4" s="140" t="s">
        <v>279</v>
      </c>
    </row>
    <row r="5" spans="1:2">
      <c r="A5" s="141">
        <v>244091</v>
      </c>
      <c r="B5" s="140" t="s">
        <v>285</v>
      </c>
    </row>
    <row r="6" spans="1:2">
      <c r="A6" s="141">
        <v>244918</v>
      </c>
      <c r="B6" s="140" t="s">
        <v>286</v>
      </c>
    </row>
    <row r="7" spans="1:2">
      <c r="A7" s="141">
        <v>244461</v>
      </c>
      <c r="B7" s="140" t="s">
        <v>287</v>
      </c>
    </row>
    <row r="12" spans="1:2">
      <c r="B12" t="s">
        <v>289</v>
      </c>
    </row>
    <row r="13" spans="1:2">
      <c r="A13" s="141">
        <v>244159</v>
      </c>
      <c r="B13" s="140" t="s">
        <v>280</v>
      </c>
    </row>
    <row r="14" spans="1:2">
      <c r="A14" s="141">
        <v>244158</v>
      </c>
      <c r="B14" s="140" t="s">
        <v>281</v>
      </c>
    </row>
    <row r="15" spans="1:2">
      <c r="A15" s="141">
        <v>243485</v>
      </c>
      <c r="B15" s="140" t="s">
        <v>282</v>
      </c>
    </row>
    <row r="16" spans="1:2">
      <c r="A16" s="141">
        <v>243495</v>
      </c>
      <c r="B16" s="140" t="s">
        <v>283</v>
      </c>
    </row>
    <row r="17" spans="1:2">
      <c r="A17" s="141">
        <v>243494</v>
      </c>
      <c r="B17" s="140" t="s">
        <v>284</v>
      </c>
    </row>
  </sheetData>
  <hyperlinks>
    <hyperlink ref="A2" r:id="rId1" display="https://nam04.safelinks.protection.outlook.com/?url=https%3A%2F%2Fwisconsindpi.visualstudio.com%2Fd03023ea-9e63-4e4e-aa64-656b0167ed08%2F_workitems%2Fedit%2F244685&amp;data=05%7C02%7CVindhya.Jajavarapu%40dpi.wi.gov%7C0db34ba6646a4e9a08da08deb45b8e9e%7C1654d14032604903b5b718450051ce16%7C1%7C0%7C639146502514783514%7CUnknown%7CTWFpbGZsb3d8eyJFbXB0eU1hcGkiOnRydWUsIlYiOiIwLjAuMDAwMCIsIlAiOiJXaW4zMiIsIkFOIjoiTWFpbCIsIldUIjoyfQ%3D%3D%7C0%7C%7C%7C&amp;sdata=2BFd8miBe2oBsBNsApcenskcmot8gUqkvmDMdeLA4vU%3D&amp;reserved=0"/>
    <hyperlink ref="A3" r:id="rId2" display="https://nam04.safelinks.protection.outlook.com/?url=https%3A%2F%2Fwisconsindpi.visualstudio.com%2Fd03023ea-9e63-4e4e-aa64-656b0167ed08%2F_workitems%2Fedit%2F244429&amp;data=05%7C02%7CVindhya.Jajavarapu%40dpi.wi.gov%7C0db34ba6646a4e9a08da08deb45b8e9e%7C1654d14032604903b5b718450051ce16%7C1%7C0%7C639146502514936440%7CUnknown%7CTWFpbGZsb3d8eyJFbXB0eU1hcGkiOnRydWUsIlYiOiIwLjAuMDAwMCIsIlAiOiJXaW4zMiIsIkFOIjoiTWFpbCIsIldUIjoyfQ%3D%3D%7C0%7C%7C%7C&amp;sdata=3OxHC5%2Bb6eJ%2FnXNwWSqWOTQf38cApef762uhgZtjHWg%3D&amp;reserved=0"/>
    <hyperlink ref="A4" r:id="rId3" display="https://nam04.safelinks.protection.outlook.com/?url=https%3A%2F%2Fwisconsindpi.visualstudio.com%2Fd03023ea-9e63-4e4e-aa64-656b0167ed08%2F_workitems%2Fedit%2F244161&amp;data=05%7C02%7CVindhya.Jajavarapu%40dpi.wi.gov%7C0db34ba6646a4e9a08da08deb45b8e9e%7C1654d14032604903b5b718450051ce16%7C1%7C0%7C639146502515068902%7CUnknown%7CTWFpbGZsb3d8eyJFbXB0eU1hcGkiOnRydWUsIlYiOiIwLjAuMDAwMCIsIlAiOiJXaW4zMiIsIkFOIjoiTWFpbCIsIldUIjoyfQ%3D%3D%7C0%7C%7C%7C&amp;sdata=aMYF1zrMOHqSgzyS5pZrgXlm%2FXRd21OdpE9dptOXYtY%3D&amp;reserved=0"/>
    <hyperlink ref="A13" r:id="rId4" display="https://nam04.safelinks.protection.outlook.com/?url=https%3A%2F%2Fwisconsindpi.visualstudio.com%2Fd03023ea-9e63-4e4e-aa64-656b0167ed08%2F_workitems%2Fedit%2F244159&amp;data=05%7C02%7CVindhya.Jajavarapu%40dpi.wi.gov%7C0db34ba6646a4e9a08da08deb45b8e9e%7C1654d14032604903b5b718450051ce16%7C1%7C0%7C639146502515111100%7CUnknown%7CTWFpbGZsb3d8eyJFbXB0eU1hcGkiOnRydWUsIlYiOiIwLjAuMDAwMCIsIlAiOiJXaW4zMiIsIkFOIjoiTWFpbCIsIldUIjoyfQ%3D%3D%7C0%7C%7C%7C&amp;sdata=eiRgj2cX9u5WyusJfM%2BbIq5%2FQsuO%2FMnCVIMgMUhdMMA%3D&amp;reserved=0"/>
    <hyperlink ref="A14" r:id="rId5" display="https://nam04.safelinks.protection.outlook.com/?url=https%3A%2F%2Fwisconsindpi.visualstudio.com%2Fd03023ea-9e63-4e4e-aa64-656b0167ed08%2F_workitems%2Fedit%2F244158&amp;data=05%7C02%7CVindhya.Jajavarapu%40dpi.wi.gov%7C0db34ba6646a4e9a08da08deb45b8e9e%7C1654d14032604903b5b718450051ce16%7C1%7C0%7C639146502515148083%7CUnknown%7CTWFpbGZsb3d8eyJFbXB0eU1hcGkiOnRydWUsIlYiOiIwLjAuMDAwMCIsIlAiOiJXaW4zMiIsIkFOIjoiTWFpbCIsIldUIjoyfQ%3D%3D%7C0%7C%7C%7C&amp;sdata=zNbEcTTWJe0A3zkJd6yeSddCK9miQ3Dpg%2BbrCpGgAtk%3D&amp;reserved=0"/>
    <hyperlink ref="A15" r:id="rId6" display="https://nam04.safelinks.protection.outlook.com/?url=https%3A%2F%2Fwisconsindpi.visualstudio.com%2Fd03023ea-9e63-4e4e-aa64-656b0167ed08%2F_workitems%2Fedit%2F243485&amp;data=05%7C02%7CVindhya.Jajavarapu%40dpi.wi.gov%7C0db34ba6646a4e9a08da08deb45b8e9e%7C1654d14032604903b5b718450051ce16%7C1%7C0%7C639146502515185585%7CUnknown%7CTWFpbGZsb3d8eyJFbXB0eU1hcGkiOnRydWUsIlYiOiIwLjAuMDAwMCIsIlAiOiJXaW4zMiIsIkFOIjoiTWFpbCIsIldUIjoyfQ%3D%3D%7C0%7C%7C%7C&amp;sdata=gpnVJRe1%2FSklmqyvnZ03FkRfA9dS8JYDroRZROkxkHY%3D&amp;reserved=0"/>
    <hyperlink ref="A16" r:id="rId7" display="https://nam04.safelinks.protection.outlook.com/?url=https%3A%2F%2Fwisconsindpi.visualstudio.com%2Fd03023ea-9e63-4e4e-aa64-656b0167ed08%2F_workitems%2Fedit%2F243495&amp;data=05%7C02%7CVindhya.Jajavarapu%40dpi.wi.gov%7C0db34ba6646a4e9a08da08deb45b8e9e%7C1654d14032604903b5b718450051ce16%7C1%7C0%7C639146502515197808%7CUnknown%7CTWFpbGZsb3d8eyJFbXB0eU1hcGkiOnRydWUsIlYiOiIwLjAuMDAwMCIsIlAiOiJXaW4zMiIsIkFOIjoiTWFpbCIsIldUIjoyfQ%3D%3D%7C0%7C%7C%7C&amp;sdata=pTrAZYdhyDvalFrBxtflPnxFOmS%2FFIKu%2BH%2BUZ9lPylo%3D&amp;reserved=0"/>
    <hyperlink ref="A17" r:id="rId8" display="https://nam04.safelinks.protection.outlook.com/?url=https%3A%2F%2Fwisconsindpi.visualstudio.com%2Fd03023ea-9e63-4e4e-aa64-656b0167ed08%2F_workitems%2Fedit%2F243494&amp;data=05%7C02%7CVindhya.Jajavarapu%40dpi.wi.gov%7C0db34ba6646a4e9a08da08deb45b8e9e%7C1654d14032604903b5b718450051ce16%7C1%7C0%7C639146502515210056%7CUnknown%7CTWFpbGZsb3d8eyJFbXB0eU1hcGkiOnRydWUsIlYiOiIwLjAuMDAwMCIsIlAiOiJXaW4zMiIsIkFOIjoiTWFpbCIsIldUIjoyfQ%3D%3D%7C0%7C%7C%7C&amp;sdata=EAlxw2LHQIc2NyOni1M9Yts4I%2FLqbj9slPAW3Yqlsmk%3D&amp;reserved=0"/>
    <hyperlink ref="A5" r:id="rId9" display="https://nam04.safelinks.protection.outlook.com/?url=https%3A%2F%2Fwisconsindpi.visualstudio.com%2Fd03023ea-9e63-4e4e-aa64-656b0167ed08%2F_workitems%2Fedit%2F244091&amp;data=05%7C02%7CVindhya.Jajavarapu%40dpi.wi.gov%7C0db34ba6646a4e9a08da08deb45b8e9e%7C1654d14032604903b5b718450051ce16%7C1%7C0%7C639146502515223809%7CUnknown%7CTWFpbGZsb3d8eyJFbXB0eU1hcGkiOnRydWUsIlYiOiIwLjAuMDAwMCIsIlAiOiJXaW4zMiIsIkFOIjoiTWFpbCIsIldUIjoyfQ%3D%3D%7C0%7C%7C%7C&amp;sdata=%2BWwBJl6vnOHEuRuwwsUh2diBgxl%2BPIuInOvKN0p3X%2Bw%3D&amp;reserved=0"/>
    <hyperlink ref="A6" r:id="rId10" display="https://nam04.safelinks.protection.outlook.com/?url=https%3A%2F%2Fwisconsindpi.visualstudio.com%2Fd03023ea-9e63-4e4e-aa64-656b0167ed08%2F_workitems%2Fedit%2F244918&amp;data=05%7C02%7CVindhya.Jajavarapu%40dpi.wi.gov%7C0db34ba6646a4e9a08da08deb45b8e9e%7C1654d14032604903b5b718450051ce16%7C1%7C0%7C639146502515261877%7CUnknown%7CTWFpbGZsb3d8eyJFbXB0eU1hcGkiOnRydWUsIlYiOiIwLjAuMDAwMCIsIlAiOiJXaW4zMiIsIkFOIjoiTWFpbCIsIldUIjoyfQ%3D%3D%7C0%7C%7C%7C&amp;sdata=dECLKsFiIbhaY0KHutQzUICwWKFkshMsGX70EazqZoc%3D&amp;reserved=0"/>
    <hyperlink ref="A7" r:id="rId11" display="https://nam04.safelinks.protection.outlook.com/?url=https%3A%2F%2Fwisconsindpi.visualstudio.com%2Fd03023ea-9e63-4e4e-aa64-656b0167ed08%2F_workitems%2Fedit%2F244461&amp;data=05%7C02%7CVindhya.Jajavarapu%40dpi.wi.gov%7C0db34ba6646a4e9a08da08deb45b8e9e%7C1654d14032604903b5b718450051ce16%7C1%7C0%7C639146502515333241%7CUnknown%7CTWFpbGZsb3d8eyJFbXB0eU1hcGkiOnRydWUsIlYiOiIwLjAuMDAwMCIsIlAiOiJXaW4zMiIsIkFOIjoiTWFpbCIsIldUIjoyfQ%3D%3D%7C0%7C%7C%7C&amp;sdata=ctAa4WCUKsWCqNWFbGX1mVJNbOt2jv%2FVvOPujcjnToA%3D&amp;reserved=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2"/>
  <sheetViews>
    <sheetView zoomScale="120" zoomScaleNormal="120" workbookViewId="0">
      <selection activeCell="A8" sqref="A8:XFD8"/>
    </sheetView>
  </sheetViews>
  <sheetFormatPr defaultRowHeight="15" customHeight="1"/>
  <cols>
    <col min="1" max="1" width="63.7265625" customWidth="1"/>
    <col min="2" max="2" width="20.7265625" customWidth="1"/>
    <col min="3" max="3" width="17.1796875" customWidth="1"/>
  </cols>
  <sheetData>
    <row r="1" spans="1:23" ht="15" customHeight="1">
      <c r="A1" s="132" t="s">
        <v>160</v>
      </c>
      <c r="B1" s="132" t="s">
        <v>85</v>
      </c>
      <c r="C1" s="132" t="s">
        <v>2</v>
      </c>
      <c r="D1" s="133" t="s">
        <v>83</v>
      </c>
      <c r="E1" s="132" t="s">
        <v>125</v>
      </c>
      <c r="F1" s="132" t="s">
        <v>91</v>
      </c>
      <c r="G1" s="132" t="s">
        <v>86</v>
      </c>
      <c r="H1" s="132" t="s">
        <v>87</v>
      </c>
      <c r="I1" s="132" t="s">
        <v>88</v>
      </c>
      <c r="J1" s="132" t="s">
        <v>89</v>
      </c>
      <c r="K1" s="132" t="s">
        <v>90</v>
      </c>
      <c r="L1" s="132" t="s">
        <v>137</v>
      </c>
      <c r="M1" s="132" t="s">
        <v>138</v>
      </c>
      <c r="N1" s="132" t="s">
        <v>139</v>
      </c>
      <c r="O1" s="132" t="s">
        <v>140</v>
      </c>
      <c r="P1" s="132" t="s">
        <v>141</v>
      </c>
      <c r="Q1" s="132" t="s">
        <v>125</v>
      </c>
      <c r="R1" s="132" t="s">
        <v>91</v>
      </c>
      <c r="S1" s="132" t="s">
        <v>86</v>
      </c>
      <c r="T1" s="132" t="s">
        <v>87</v>
      </c>
      <c r="U1" s="132" t="s">
        <v>88</v>
      </c>
      <c r="V1" s="132" t="s">
        <v>89</v>
      </c>
      <c r="W1" s="132" t="s">
        <v>90</v>
      </c>
    </row>
    <row r="2" spans="1:23" ht="15" customHeight="1">
      <c r="A2" s="117" t="s">
        <v>129</v>
      </c>
      <c r="B2" s="118" t="s">
        <v>92</v>
      </c>
      <c r="C2" s="119" t="s">
        <v>257</v>
      </c>
      <c r="D2" s="120"/>
      <c r="E2" s="121"/>
      <c r="F2" s="122"/>
      <c r="G2" s="122"/>
      <c r="H2" s="122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</row>
    <row r="3" spans="1:23" ht="15" customHeight="1">
      <c r="A3" s="117" t="s">
        <v>142</v>
      </c>
      <c r="B3" s="118" t="s">
        <v>92</v>
      </c>
      <c r="C3" s="119" t="s">
        <v>257</v>
      </c>
      <c r="D3" s="120"/>
      <c r="E3" s="121"/>
      <c r="F3" s="122"/>
      <c r="G3" s="122"/>
      <c r="H3" s="122"/>
      <c r="I3" s="122"/>
      <c r="J3" s="121"/>
      <c r="K3" s="121"/>
      <c r="L3" s="121"/>
      <c r="M3" s="121"/>
      <c r="N3" s="121"/>
      <c r="O3" s="121"/>
      <c r="P3" s="121"/>
      <c r="Q3" s="120"/>
      <c r="R3" s="120"/>
      <c r="S3" s="120"/>
      <c r="T3" s="120"/>
      <c r="U3" s="121"/>
      <c r="V3" s="121"/>
      <c r="W3" s="121"/>
    </row>
    <row r="4" spans="1:23" ht="15" customHeight="1">
      <c r="A4" s="117" t="s">
        <v>128</v>
      </c>
      <c r="B4" s="118" t="s">
        <v>92</v>
      </c>
      <c r="C4" s="119" t="s">
        <v>127</v>
      </c>
      <c r="D4" s="120"/>
      <c r="E4" s="121"/>
      <c r="F4" s="122"/>
      <c r="G4" s="122"/>
      <c r="H4" s="122"/>
      <c r="I4" s="122"/>
      <c r="J4" s="122"/>
      <c r="K4" s="122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</row>
    <row r="5" spans="1:23" ht="15" customHeight="1">
      <c r="A5" s="123" t="s">
        <v>258</v>
      </c>
      <c r="B5" s="118" t="s">
        <v>92</v>
      </c>
      <c r="C5" s="121" t="s">
        <v>162</v>
      </c>
      <c r="D5" s="120"/>
      <c r="E5" s="121"/>
      <c r="F5" s="121"/>
      <c r="G5" s="121"/>
      <c r="H5" s="121"/>
      <c r="I5" s="121"/>
      <c r="J5" s="121"/>
      <c r="K5" s="121"/>
      <c r="L5" s="124"/>
      <c r="M5" s="124"/>
      <c r="N5" s="134"/>
      <c r="O5" s="134"/>
      <c r="P5" s="121"/>
      <c r="Q5" s="121"/>
      <c r="R5" s="121"/>
      <c r="S5" s="121"/>
      <c r="T5" s="121"/>
      <c r="U5" s="121"/>
      <c r="V5" s="121"/>
      <c r="W5" s="121"/>
    </row>
    <row r="6" spans="1:23" ht="15" customHeight="1">
      <c r="A6" s="125" t="s">
        <v>259</v>
      </c>
      <c r="B6" s="126" t="s">
        <v>92</v>
      </c>
      <c r="C6" s="121" t="s">
        <v>162</v>
      </c>
      <c r="D6" s="127"/>
      <c r="E6" s="126"/>
      <c r="F6" s="126"/>
      <c r="G6" s="126"/>
      <c r="H6" s="126"/>
      <c r="I6" s="126"/>
      <c r="J6" s="126"/>
      <c r="K6" s="126"/>
      <c r="L6" s="126"/>
      <c r="M6" s="126"/>
      <c r="N6" s="128"/>
      <c r="O6" s="128"/>
      <c r="P6" s="129"/>
      <c r="Q6" s="129"/>
      <c r="R6" s="130"/>
      <c r="S6" s="130"/>
      <c r="T6" s="130"/>
      <c r="U6" s="130"/>
      <c r="V6" s="130"/>
      <c r="W6" s="130"/>
    </row>
    <row r="7" spans="1:23" ht="15" customHeight="1">
      <c r="A7" s="119" t="s">
        <v>126</v>
      </c>
      <c r="B7" s="121"/>
      <c r="C7" s="121" t="s">
        <v>162</v>
      </c>
      <c r="D7" s="120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4"/>
      <c r="S7" s="124"/>
      <c r="T7" s="121"/>
      <c r="U7" s="121"/>
      <c r="V7" s="121"/>
      <c r="W7" s="121"/>
    </row>
    <row r="8" spans="1:23" ht="15" customHeight="1">
      <c r="A8" s="120" t="s">
        <v>164</v>
      </c>
      <c r="B8" s="121"/>
      <c r="C8" s="121" t="s">
        <v>162</v>
      </c>
      <c r="D8" s="120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0"/>
      <c r="P8" s="120"/>
      <c r="Q8" s="121"/>
      <c r="R8" s="121"/>
      <c r="S8" s="121"/>
      <c r="T8" s="124"/>
      <c r="U8" s="124"/>
      <c r="V8" s="121"/>
      <c r="W8" s="121"/>
    </row>
    <row r="9" spans="1:23" ht="15" customHeight="1">
      <c r="A9" s="120" t="s">
        <v>165</v>
      </c>
      <c r="B9" s="121"/>
      <c r="C9" s="121" t="s">
        <v>162</v>
      </c>
      <c r="D9" s="120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4"/>
      <c r="V9" s="124"/>
      <c r="W9" s="121"/>
    </row>
    <row r="10" spans="1:23" ht="15" customHeight="1">
      <c r="A10" s="120" t="s">
        <v>166</v>
      </c>
      <c r="B10" s="130"/>
      <c r="C10" s="130" t="s">
        <v>162</v>
      </c>
      <c r="D10" s="125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29"/>
      <c r="W10" s="130"/>
    </row>
    <row r="11" spans="1:23" ht="15" customHeight="1">
      <c r="A11" s="131" t="s">
        <v>167</v>
      </c>
      <c r="B11" s="121"/>
      <c r="C11" s="121"/>
      <c r="D11" s="120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4"/>
    </row>
    <row r="12" spans="1:23" ht="15" customHeight="1">
      <c r="A12" s="123" t="s">
        <v>161</v>
      </c>
      <c r="B12" s="121"/>
      <c r="C12" s="121" t="s">
        <v>162</v>
      </c>
      <c r="D12" s="120" t="s">
        <v>163</v>
      </c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A4" sqref="A4:A5"/>
    </sheetView>
  </sheetViews>
  <sheetFormatPr defaultRowHeight="14.5"/>
  <cols>
    <col min="1" max="1" width="25.7265625" customWidth="1"/>
    <col min="2" max="2" width="52" customWidth="1"/>
    <col min="3" max="3" width="33.81640625" customWidth="1"/>
    <col min="4" max="4" width="38" customWidth="1"/>
  </cols>
  <sheetData>
    <row r="1" spans="1:4" ht="15" thickBot="1">
      <c r="A1" s="58" t="s">
        <v>93</v>
      </c>
      <c r="B1" s="59" t="s">
        <v>94</v>
      </c>
      <c r="C1" s="59" t="s">
        <v>95</v>
      </c>
      <c r="D1" s="60" t="s">
        <v>96</v>
      </c>
    </row>
    <row r="2" spans="1:4">
      <c r="A2" s="311" t="s">
        <v>97</v>
      </c>
      <c r="B2" s="316" t="s">
        <v>98</v>
      </c>
      <c r="C2" s="36" t="s">
        <v>99</v>
      </c>
      <c r="D2" s="55" t="s">
        <v>100</v>
      </c>
    </row>
    <row r="3" spans="1:4">
      <c r="A3" s="315"/>
      <c r="B3" s="317"/>
      <c r="C3" s="35" t="s">
        <v>101</v>
      </c>
      <c r="D3" s="54" t="s">
        <v>102</v>
      </c>
    </row>
    <row r="4" spans="1:4">
      <c r="A4" s="311" t="s">
        <v>103</v>
      </c>
      <c r="B4" s="316" t="s">
        <v>104</v>
      </c>
      <c r="C4" s="36" t="s">
        <v>105</v>
      </c>
      <c r="D4" s="55" t="s">
        <v>106</v>
      </c>
    </row>
    <row r="5" spans="1:4">
      <c r="A5" s="315"/>
      <c r="B5" s="317"/>
      <c r="C5" s="35" t="s">
        <v>107</v>
      </c>
      <c r="D5" s="54" t="s">
        <v>108</v>
      </c>
    </row>
    <row r="6" spans="1:4">
      <c r="A6" s="311" t="s">
        <v>109</v>
      </c>
      <c r="B6" s="316" t="s">
        <v>110</v>
      </c>
      <c r="C6" s="36" t="s">
        <v>111</v>
      </c>
      <c r="D6" s="55" t="s">
        <v>112</v>
      </c>
    </row>
    <row r="7" spans="1:4">
      <c r="A7" s="315"/>
      <c r="B7" s="317"/>
      <c r="C7" s="36" t="s">
        <v>113</v>
      </c>
      <c r="D7" s="54" t="s">
        <v>114</v>
      </c>
    </row>
    <row r="8" spans="1:4" ht="43.5">
      <c r="A8" s="311" t="s">
        <v>115</v>
      </c>
      <c r="B8" s="313" t="s">
        <v>116</v>
      </c>
      <c r="C8" s="37" t="s">
        <v>117</v>
      </c>
      <c r="D8" s="55" t="s">
        <v>118</v>
      </c>
    </row>
    <row r="9" spans="1:4" ht="73" thickBot="1">
      <c r="A9" s="312"/>
      <c r="B9" s="314"/>
      <c r="C9" s="56" t="s">
        <v>119</v>
      </c>
      <c r="D9" s="57" t="s">
        <v>120</v>
      </c>
    </row>
  </sheetData>
  <mergeCells count="8">
    <mergeCell ref="A8:A9"/>
    <mergeCell ref="B8:B9"/>
    <mergeCell ref="A2:A3"/>
    <mergeCell ref="B2:B3"/>
    <mergeCell ref="A4:A5"/>
    <mergeCell ref="B4:B5"/>
    <mergeCell ref="A6:A7"/>
    <mergeCell ref="B6:B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AABC19382BE46B44E2E6738F79D8C" ma:contentTypeVersion="27" ma:contentTypeDescription="Create a new document." ma:contentTypeScope="" ma:versionID="f88c4eebbb60892d9d339fe14693cd18">
  <xsd:schema xmlns:xsd="http://www.w3.org/2001/XMLSchema" xmlns:xs="http://www.w3.org/2001/XMLSchema" xmlns:p="http://schemas.microsoft.com/office/2006/metadata/properties" xmlns:ns1="http://schemas.microsoft.com/sharepoint/v3" xmlns:ns2="80ccbb6c-22f1-4f91-a4e7-824e0aa892a1" xmlns:ns3="0ce3ad83-bd45-4bf4-9b62-b6c0d27e4a5b" targetNamespace="http://schemas.microsoft.com/office/2006/metadata/properties" ma:root="true" ma:fieldsID="769445c163c3f362e2e2547c22afb691" ns1:_="" ns2:_="" ns3:_="">
    <xsd:import namespace="http://schemas.microsoft.com/sharepoint/v3"/>
    <xsd:import namespace="80ccbb6c-22f1-4f91-a4e7-824e0aa892a1"/>
    <xsd:import namespace="0ce3ad83-bd45-4bf4-9b62-b6c0d27e4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Location" minOccurs="0"/>
                <xsd:element ref="ns2:2e19366f-a104-4d39-bcd4-c640c74866b1CountryOrRegion" minOccurs="0"/>
                <xsd:element ref="ns2:2e19366f-a104-4d39-bcd4-c640c74866b1State" minOccurs="0"/>
                <xsd:element ref="ns2:2e19366f-a104-4d39-bcd4-c640c74866b1City" minOccurs="0"/>
                <xsd:element ref="ns2:2e19366f-a104-4d39-bcd4-c640c74866b1PostalCode" minOccurs="0"/>
                <xsd:element ref="ns2:2e19366f-a104-4d39-bcd4-c640c74866b1Street" minOccurs="0"/>
                <xsd:element ref="ns2:2e19366f-a104-4d39-bcd4-c640c74866b1GeoLoc" minOccurs="0"/>
                <xsd:element ref="ns2:2e19366f-a104-4d39-bcd4-c640c74866b1DispNam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ccbb6c-22f1-4f91-a4e7-824e0aa892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ocation" ma:index="20" nillable="true" ma:displayName="Location" ma:format="Dropdown" ma:internalName="Location">
      <xsd:simpleType>
        <xsd:restriction base="dms:Unknown"/>
      </xsd:simpleType>
    </xsd:element>
    <xsd:element name="2e19366f-a104-4d39-bcd4-c640c74866b1CountryOrRegion" ma:index="21" nillable="true" ma:displayName="Location: Country/Region" ma:internalName="CountryOrRegion" ma:readOnly="true">
      <xsd:simpleType>
        <xsd:restriction base="dms:Text"/>
      </xsd:simpleType>
    </xsd:element>
    <xsd:element name="2e19366f-a104-4d39-bcd4-c640c74866b1State" ma:index="22" nillable="true" ma:displayName="Location: State" ma:internalName="State" ma:readOnly="true">
      <xsd:simpleType>
        <xsd:restriction base="dms:Text"/>
      </xsd:simpleType>
    </xsd:element>
    <xsd:element name="2e19366f-a104-4d39-bcd4-c640c74866b1City" ma:index="23" nillable="true" ma:displayName="Location: City" ma:internalName="City" ma:readOnly="true">
      <xsd:simpleType>
        <xsd:restriction base="dms:Text"/>
      </xsd:simpleType>
    </xsd:element>
    <xsd:element name="2e19366f-a104-4d39-bcd4-c640c74866b1PostalCode" ma:index="24" nillable="true" ma:displayName="Location: Postal Code" ma:internalName="PostalCode" ma:readOnly="true">
      <xsd:simpleType>
        <xsd:restriction base="dms:Text"/>
      </xsd:simpleType>
    </xsd:element>
    <xsd:element name="2e19366f-a104-4d39-bcd4-c640c74866b1Street" ma:index="25" nillable="true" ma:displayName="Location: Street" ma:internalName="Street" ma:readOnly="true">
      <xsd:simpleType>
        <xsd:restriction base="dms:Text"/>
      </xsd:simpleType>
    </xsd:element>
    <xsd:element name="2e19366f-a104-4d39-bcd4-c640c74866b1GeoLoc" ma:index="26" nillable="true" ma:displayName="Location: Coordinates" ma:internalName="GeoLoc" ma:readOnly="true">
      <xsd:simpleType>
        <xsd:restriction base="dms:Unknown"/>
      </xsd:simpleType>
    </xsd:element>
    <xsd:element name="2e19366f-a104-4d39-bcd4-c640c74866b1DispName" ma:index="27" nillable="true" ma:displayName="Location: Name" ma:internalName="DispName" ma:readOnly="true">
      <xsd:simpleType>
        <xsd:restriction base="dms:Text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15f17300-1e6c-40ba-91a1-269fcda390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3ad83-bd45-4bf4-9b62-b6c0d27e4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0" nillable="true" ma:displayName="Taxonomy Catch All Column" ma:hidden="true" ma:list="{637ff74a-94a7-4aa7-b52d-30a59131ca73}" ma:internalName="TaxCatchAll" ma:showField="CatchAllData" ma:web="0ce3ad83-bd45-4bf4-9b62-b6c0d27e4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5B429C-AB9A-44CF-B2F0-6128B7100A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911678-06E1-41F3-84BE-915506281B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0ccbb6c-22f1-4f91-a4e7-824e0aa892a1"/>
    <ds:schemaRef ds:uri="0ce3ad83-bd45-4bf4-9b62-b6c0d27e4a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ProjectStatusReport(May)-GovD</vt:lpstr>
      <vt:lpstr>ProjectStatusReport(May)-AccSca</vt:lpstr>
      <vt:lpstr>ENH and Bug Fixes - AccScans</vt:lpstr>
      <vt:lpstr>Sheet3</vt:lpstr>
      <vt:lpstr>Road Map</vt:lpstr>
      <vt:lpstr>Key</vt:lpstr>
    </vt:vector>
  </TitlesOfParts>
  <Company>Department of Public Instruction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S Lingam</dc:creator>
  <cp:lastModifiedBy>Lenovo</cp:lastModifiedBy>
  <cp:revision/>
  <dcterms:created xsi:type="dcterms:W3CDTF">2023-11-08T18:40:38Z</dcterms:created>
  <dcterms:modified xsi:type="dcterms:W3CDTF">2026-05-20T12:01:08Z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0x0101007CAAABC19382BE46B44E2E6738F79D8C</vt:lpwstr>
  </property>
</Properties>
</file>